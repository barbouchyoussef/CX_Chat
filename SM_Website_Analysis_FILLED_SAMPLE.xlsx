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6" autoFilterDateGrouping="1"/>
  </bookViews>
  <sheets>
    <sheet name="Read Me" sheetId="1" state="visible" r:id="rId1"/>
    <sheet name="LinkedIn" sheetId="2" state="visible" r:id="rId2"/>
    <sheet name="Facebook" sheetId="3" state="visible" r:id="rId3"/>
    <sheet name="Instagram" sheetId="4" state="visible" r:id="rId4"/>
    <sheet name="X (ex Twitter)" sheetId="5" state="visible" r:id="rId5"/>
    <sheet name="Website" sheetId="6" state="visible" r:id="rId6"/>
    <sheet name="Themes &amp; Insights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charset val="1"/>
      <family val="2"/>
      <color theme="1"/>
      <sz val="11"/>
    </font>
    <font>
      <name val="Arial"/>
      <charset val="1"/>
      <b val="1"/>
      <color rgb="FF2E2E38"/>
      <sz val="18"/>
    </font>
    <font>
      <name val="Arial"/>
      <charset val="1"/>
      <b val="1"/>
      <color rgb="FFFFFFFF"/>
      <sz val="13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i val="1"/>
      <color rgb="FF808080"/>
      <sz val="8"/>
    </font>
    <font>
      <name val="Arial"/>
      <charset val="1"/>
      <b val="1"/>
      <color rgb="FF2E2E38"/>
      <sz val="11"/>
    </font>
    <font>
      <name val="Arial"/>
      <charset val="1"/>
      <i val="1"/>
      <color rgb="FF548235"/>
      <sz val="9"/>
    </font>
    <font>
      <name val="Arial"/>
      <charset val="1"/>
      <i val="1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FFFFE600"/>
        <bgColor rgb="FFFFFF00"/>
      </patternFill>
    </fill>
    <fill>
      <patternFill patternType="solid">
        <fgColor rgb="FF2E2E38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D9D9DE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0">
    <border>
      <left/>
      <right/>
      <top/>
      <bottom/>
      <diagonal/>
    </border>
    <border>
      <left/>
      <right/>
      <top/>
      <bottom style="thick">
        <color rgb="FFFFE6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top" wrapText="1"/>
    </xf>
    <xf numFmtId="0" fontId="8" fillId="0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4" borderId="2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5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6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49" fontId="7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3" fontId="7" fillId="7" borderId="2" applyAlignment="1" pivotButton="0" quotePrefix="0" xfId="0">
      <alignment horizontal="center" vertical="center" wrapText="1"/>
    </xf>
    <xf numFmtId="164" fontId="7" fillId="7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top" wrapText="1"/>
    </xf>
    <xf numFmtId="3" fontId="4" fillId="4" borderId="2" applyAlignment="1" pivotButton="0" quotePrefix="0" xfId="0">
      <alignment horizontal="center" vertical="top" wrapText="1"/>
    </xf>
    <xf numFmtId="164" fontId="4" fillId="6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left" vertical="center" wrapText="1"/>
    </xf>
    <xf numFmtId="3" fontId="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4"/>
  <sheetViews>
    <sheetView showGridLines="0" zoomScaleNormal="100" workbookViewId="0">
      <selection activeCell="C35" sqref="C35"/>
    </sheetView>
  </sheetViews>
  <sheetFormatPr baseColWidth="10" defaultColWidth="8.6640625" defaultRowHeight="14.4"/>
  <cols>
    <col width="3" customWidth="1" min="1" max="1"/>
    <col width="26" customWidth="1" min="2" max="2"/>
    <col width="52" customWidth="1" min="3" max="3"/>
    <col width="58" customWidth="1" min="4" max="4"/>
  </cols>
  <sheetData>
    <row r="2" ht="30" customHeight="1">
      <c r="B2" s="10" t="inlineStr">
        <is>
          <t>EY</t>
        </is>
      </c>
      <c r="C2" s="9" t="inlineStr">
        <is>
          <t>Social Media &amp; Website Analysis — Template</t>
        </is>
      </c>
      <c r="D2" s="51" t="n"/>
    </row>
    <row r="3" ht="15" customHeight="1">
      <c r="B3" s="11" t="inlineStr">
        <is>
          <t>Company / Brand:</t>
        </is>
      </c>
      <c r="C3" s="12" t="inlineStr">
        <is>
          <t>Meridian Telecom</t>
        </is>
      </c>
      <c r="D3" s="52" t="n"/>
    </row>
    <row r="4" ht="15" customHeight="1">
      <c r="B4" s="11" t="inlineStr">
        <is>
          <t>Reporting period:</t>
        </is>
      </c>
      <c r="C4" s="12" t="inlineStr">
        <is>
          <t>Q2 2026 (Apr - Jun)</t>
        </is>
      </c>
      <c r="D4" s="52" t="n"/>
    </row>
    <row r="5" ht="15" customHeight="1">
      <c r="B5" s="11" t="inlineStr">
        <is>
          <t>Analyst / Consultant:</t>
        </is>
      </c>
      <c r="C5" s="12" t="inlineStr">
        <is>
          <t>EY CX Team</t>
        </is>
      </c>
      <c r="D5" s="52" t="n"/>
    </row>
    <row r="8" ht="15" customHeight="1">
      <c r="B8" s="7" t="inlineStr">
        <is>
          <t>How to use this template</t>
        </is>
      </c>
    </row>
    <row r="9" ht="15" customHeight="1">
      <c r="B9" s="13" t="inlineStr">
        <is>
          <t>1. Enter the company name once, here on this tab — it applies to the whole workbook.</t>
        </is>
      </c>
    </row>
    <row r="10" ht="15" customHeight="1">
      <c r="B10" s="13" t="inlineStr">
        <is>
          <t>2. Complete one tab per channel (LinkedIn, Facebook, Instagram, X, Website), then synthesize the recurring themes on the 'Themes &amp; Insights' tab.</t>
        </is>
      </c>
    </row>
    <row r="11" ht="15" customHeight="1">
      <c r="B11" s="13" t="inlineStr">
        <is>
          <t>3. Type only in the YELLOW cells. Grey cells calculate automatically — don't overwrite them.</t>
        </is>
      </c>
    </row>
    <row r="12" ht="15" customHeight="1">
      <c r="B12" s="13" t="inlineStr">
        <is>
          <t>4. The green italic row on each tab is an EXAMPLE showing the expected format — you may delete it.</t>
        </is>
      </c>
    </row>
    <row r="13" ht="15" customHeight="1">
      <c r="B13" s="13" t="inlineStr">
        <is>
          <t>5. Leave a cell blank if the data isn't available; don't write 'N/A' (it breaks the app's parsing).</t>
        </is>
      </c>
    </row>
    <row r="14" ht="15" customHeight="1">
      <c r="B14" s="13" t="inlineStr">
        <is>
          <t>6. Percentages: type them as percentages (e.g. 2.4%). Counts: plain numbers (e.g. 9000).</t>
        </is>
      </c>
    </row>
    <row r="15" ht="15" customHeight="1">
      <c r="B15" s="13" t="inlineStr">
        <is>
          <t>7. Paste screenshots into the outlined 'Screenshots &amp; evidence' area on each channel tab (Insert &gt; Picture).</t>
        </is>
      </c>
    </row>
    <row r="16" ht="15" customHeight="1">
      <c r="B16" s="13" t="inlineStr">
        <is>
          <t>8. Save and re-upload the workbook to the app when finished.</t>
        </is>
      </c>
    </row>
    <row r="18" ht="15" customHeight="1">
      <c r="B18" s="14" t="inlineStr">
        <is>
          <t>Legend</t>
        </is>
      </c>
    </row>
    <row r="19" ht="15" customHeight="1">
      <c r="B19" s="12" t="n"/>
      <c r="C19" s="13" t="inlineStr">
        <is>
          <t>Fill this in</t>
        </is>
      </c>
    </row>
    <row r="20" ht="15" customHeight="1">
      <c r="B20" s="15" t="n"/>
      <c r="C20" s="13" t="inlineStr">
        <is>
          <t>Auto-calculated (don't edit)</t>
        </is>
      </c>
    </row>
    <row r="21" ht="15" customHeight="1">
      <c r="B21" s="16" t="n"/>
      <c r="C21" s="13" t="inlineStr">
        <is>
          <t>Example row (delete before use)</t>
        </is>
      </c>
    </row>
    <row r="24" ht="15.75" customHeight="1">
      <c r="B24" s="9" t="inlineStr">
        <is>
          <t>What each channel tab captures (reference)</t>
        </is>
      </c>
      <c r="C24" s="51" t="n"/>
      <c r="D24" s="51" t="n"/>
    </row>
    <row r="25" ht="15" customHeight="1">
      <c r="B25" s="17" t="inlineStr">
        <is>
          <t>Category</t>
        </is>
      </c>
      <c r="C25" s="17" t="inlineStr">
        <is>
          <t>What is measured</t>
        </is>
      </c>
      <c r="D25" s="17" t="inlineStr">
        <is>
          <t>How it helps the CX assessment</t>
        </is>
      </c>
    </row>
    <row r="26" ht="30" customHeight="1">
      <c r="B26" s="18" t="inlineStr">
        <is>
          <t>Account Performance</t>
        </is>
      </c>
      <c r="C26" s="19" t="inlineStr">
        <is>
          <t>Total followers per platform; growth trend over time</t>
        </is>
      </c>
      <c r="D26" s="19" t="inlineStr">
        <is>
          <t>Identifies brand awareness &amp; audience-growth trends</t>
        </is>
      </c>
    </row>
    <row r="27" ht="30" customHeight="1">
      <c r="B27" s="18" t="inlineStr">
        <is>
          <t>Engagement</t>
        </is>
      </c>
      <c r="C27" s="19" t="inlineStr">
        <is>
          <t>Avg likes / comments / shares per post; engagement rate (%)</t>
        </is>
      </c>
      <c r="D27" s="19" t="inlineStr">
        <is>
          <t>Shows how well content resonates with the audience</t>
        </is>
      </c>
    </row>
    <row r="28" ht="30" customHeight="1">
      <c r="B28" s="18" t="inlineStr">
        <is>
          <t>Response Rate &amp; Time</t>
        </is>
      </c>
      <c r="C28" s="19" t="inlineStr">
        <is>
          <t>Avg time to respond to comments/messages; % of queries answered</t>
        </is>
      </c>
      <c r="D28" s="19" t="inlineStr">
        <is>
          <t>Measures customer-support responsiveness on social media</t>
        </is>
      </c>
    </row>
    <row r="29" ht="30" customHeight="1">
      <c r="B29" s="18" t="inlineStr">
        <is>
          <t>Sentiment Analysis</t>
        </is>
      </c>
      <c r="C29" s="19" t="inlineStr">
        <is>
          <t>% positive / neutral / negative; recurring themes in comments</t>
        </is>
      </c>
      <c r="D29" s="19" t="inlineStr">
        <is>
          <t>Assesses customer perception &amp; pain points</t>
        </is>
      </c>
    </row>
    <row r="30" ht="30" customHeight="1">
      <c r="B30" s="18" t="inlineStr">
        <is>
          <t>Top Performing Content</t>
        </is>
      </c>
      <c r="C30" s="19" t="inlineStr">
        <is>
          <t>Highest-engagement posts; video vs image vs text performance</t>
        </is>
      </c>
      <c r="D30" s="19" t="inlineStr">
        <is>
          <t>Reveals what content drives the best interactions</t>
        </is>
      </c>
    </row>
    <row r="31" ht="30" customHeight="1">
      <c r="B31" s="18" t="inlineStr">
        <is>
          <t>Customer Complaints</t>
        </is>
      </c>
      <c r="C31" s="19" t="inlineStr">
        <is>
          <t>Most common issues raised; frequency per topic</t>
        </is>
      </c>
      <c r="D31" s="19" t="inlineStr">
        <is>
          <t>Identifies key friction points in the customer experience</t>
        </is>
      </c>
    </row>
    <row r="32" ht="30" customHeight="1">
      <c r="B32" s="20" t="inlineStr">
        <is>
          <t>Themes &amp; Insights</t>
        </is>
      </c>
      <c r="C32" s="21" t="inlineStr">
        <is>
          <t>Recurring customer themes by channel, tagged as friction points or likes; volume, examples &amp; our interpretation</t>
        </is>
      </c>
      <c r="D32" s="21" t="inlineStr">
        <is>
          <t>Distils the qualitative voice-of-customer into prioritised, evidenced insights</t>
        </is>
      </c>
    </row>
    <row r="34" ht="24" customHeight="1">
      <c r="B34" s="5" t="n"/>
    </row>
  </sheetData>
  <mergeCells count="15">
    <mergeCell ref="B10:D10"/>
    <mergeCell ref="B11:D11"/>
    <mergeCell ref="B14:D14"/>
    <mergeCell ref="B15:D15"/>
    <mergeCell ref="C2:D2"/>
    <mergeCell ref="B8:D8"/>
    <mergeCell ref="C5:D5"/>
    <mergeCell ref="B9:D9"/>
    <mergeCell ref="B13:D13"/>
    <mergeCell ref="B12:D12"/>
    <mergeCell ref="C3:D3"/>
    <mergeCell ref="B24:D24"/>
    <mergeCell ref="B16:D16"/>
    <mergeCell ref="B34:D34"/>
    <mergeCell ref="C4:D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6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1" sqref="A1"/>
    </sheetView>
  </sheetViews>
  <sheetFormatPr baseColWidth="10" defaultColWidth="8.6640625" defaultRowHeight="14.4"/>
  <cols>
    <col width="2" customWidth="1" min="1" max="1"/>
    <col width="16" customWidth="1" min="2" max="2"/>
    <col width="15" customWidth="1" min="3" max="14"/>
  </cols>
  <sheetData>
    <row r="2" ht="30" customHeight="1">
      <c r="B2" s="10" t="inlineStr">
        <is>
          <t>EY</t>
        </is>
      </c>
      <c r="C2" s="9" t="inlineStr">
        <is>
          <t>LinkedIn — Social Media Analysis</t>
        </is>
      </c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</row>
    <row r="3" ht="23.25" customHeight="1">
      <c r="B3" s="11" t="inlineStr">
        <is>
          <t>Account handle / URL:</t>
        </is>
      </c>
      <c r="C3" s="12" t="inlineStr">
        <is>
          <t>linkedin.com/company/meridian-telecom</t>
        </is>
      </c>
      <c r="D3" s="53" t="n"/>
      <c r="E3" s="53" t="n"/>
      <c r="F3" s="52" t="n"/>
    </row>
    <row r="5" ht="26.25" customHeight="1">
      <c r="B5" s="22" t="inlineStr">
        <is>
          <t>Category</t>
        </is>
      </c>
      <c r="C5" s="23" t="inlineStr">
        <is>
          <t>Account Performance</t>
        </is>
      </c>
      <c r="D5" s="52" t="n"/>
      <c r="E5" s="23" t="inlineStr">
        <is>
          <t>Engagement</t>
        </is>
      </c>
      <c r="F5" s="53" t="n"/>
      <c r="G5" s="53" t="n"/>
      <c r="H5" s="52" t="n"/>
      <c r="I5" s="23" t="inlineStr">
        <is>
          <t>Content Strategy</t>
        </is>
      </c>
      <c r="J5" s="53" t="n"/>
      <c r="K5" s="52" t="n"/>
      <c r="L5" s="23" t="inlineStr">
        <is>
          <t>Customer Support</t>
        </is>
      </c>
      <c r="M5" s="52" t="n"/>
      <c r="N5" s="23" t="inlineStr">
        <is>
          <t>Brand Perception</t>
        </is>
      </c>
    </row>
    <row r="6" ht="42" customHeight="1">
      <c r="B6" s="17" t="inlineStr">
        <is>
          <t>Criteria</t>
        </is>
      </c>
      <c r="C6" s="17" t="inlineStr">
        <is>
          <t>Page Followers &amp; Growth</t>
        </is>
      </c>
      <c r="D6" s="17" t="inlineStr">
        <is>
          <t>Page Verification</t>
        </is>
      </c>
      <c r="E6" s="17" t="inlineStr">
        <is>
          <t>Engagement Rate</t>
        </is>
      </c>
      <c r="F6" s="17" t="inlineStr">
        <is>
          <t>Post Interaction Rate</t>
        </is>
      </c>
      <c r="G6" s="17" t="inlineStr">
        <is>
          <t>Response Time to Comments</t>
        </is>
      </c>
      <c r="H6" s="17" t="inlineStr">
        <is>
          <t>Response Quality</t>
        </is>
      </c>
      <c r="I6" s="17" t="inlineStr">
        <is>
          <t>Posting Frequency</t>
        </is>
      </c>
      <c r="J6" s="17" t="inlineStr">
        <is>
          <t>Content Format Variety</t>
        </is>
      </c>
      <c r="K6" s="17" t="inlineStr">
        <is>
          <t>Campaign</t>
        </is>
      </c>
      <c r="L6" s="17" t="inlineStr">
        <is>
          <t>Complaints Handling</t>
        </is>
      </c>
      <c r="M6" s="17" t="inlineStr">
        <is>
          <t>Resolution Effectiveness</t>
        </is>
      </c>
      <c r="N6" s="17" t="inlineStr">
        <is>
          <t>Sentiment Analysis</t>
        </is>
      </c>
    </row>
    <row r="7" ht="30" customHeight="1">
      <c r="B7" s="17" t="inlineStr">
        <is>
          <t>Metric</t>
        </is>
      </c>
      <c r="C7" s="24" t="inlineStr">
        <is>
          <t>42,000 (+2.1% MoM)</t>
        </is>
      </c>
      <c r="D7" s="24" t="inlineStr">
        <is>
          <t>Verified</t>
        </is>
      </c>
      <c r="E7" s="24" t="inlineStr">
        <is>
          <t>1.8%</t>
        </is>
      </c>
      <c r="F7" s="24" t="inlineStr">
        <is>
          <t>0.29%</t>
        </is>
      </c>
      <c r="G7" s="24" t="inlineStr">
        <is>
          <t>&lt; 6h</t>
        </is>
      </c>
      <c r="H7" s="24" t="inlineStr">
        <is>
          <t>Personalized</t>
        </is>
      </c>
      <c r="I7" s="24" t="inlineStr">
        <is>
          <t>0.8 posts/day</t>
        </is>
      </c>
      <c r="J7" s="24" t="inlineStr">
        <is>
          <t>Article, Video, Carousel</t>
        </is>
      </c>
      <c r="K7" s="24" t="inlineStr">
        <is>
          <t>Yes - #ConnectMeridian</t>
        </is>
      </c>
      <c r="L7" s="24" t="inlineStr">
        <is>
          <t>Responsive</t>
        </is>
      </c>
      <c r="M7" s="24" t="inlineStr">
        <is>
          <t>Mostly effective</t>
        </is>
      </c>
      <c r="N7" s="24" t="inlineStr">
        <is>
          <t>58% Pos / 27% Neu / 15% Neg</t>
        </is>
      </c>
    </row>
    <row r="8" ht="25.5" customHeight="1">
      <c r="B8" s="25" t="inlineStr">
        <is>
          <t>Example</t>
        </is>
      </c>
      <c r="C8" s="25" t="inlineStr">
        <is>
          <t>e.g. 9,000 (+3% MoM)</t>
        </is>
      </c>
      <c r="D8" s="25" t="inlineStr">
        <is>
          <t>Verified</t>
        </is>
      </c>
      <c r="E8" s="25" t="inlineStr">
        <is>
          <t>2.4%</t>
        </is>
      </c>
      <c r="F8" s="25" t="inlineStr">
        <is>
          <t>0.33%</t>
        </is>
      </c>
      <c r="G8" s="25" t="inlineStr">
        <is>
          <t>&lt; 24h</t>
        </is>
      </c>
      <c r="H8" s="25" t="inlineStr">
        <is>
          <t>Personalized</t>
        </is>
      </c>
      <c r="I8" s="25" t="inlineStr">
        <is>
          <t>1.2 posts/day</t>
        </is>
      </c>
      <c r="J8" s="25" t="inlineStr">
        <is>
          <t>Image, Video, Story, Carousel</t>
        </is>
      </c>
      <c r="K8" s="25" t="inlineStr">
        <is>
          <t>Yes – #SummerPromo</t>
        </is>
      </c>
      <c r="L8" s="25" t="inlineStr">
        <is>
          <t>Responsive</t>
        </is>
      </c>
      <c r="M8" s="25" t="inlineStr">
        <is>
          <t>Effective</t>
        </is>
      </c>
      <c r="N8" s="25" t="inlineStr">
        <is>
          <t>70% Pos / 20% Neu / 10% Neg</t>
        </is>
      </c>
    </row>
    <row r="10" ht="15" customHeight="1">
      <c r="B10" s="7" t="inlineStr">
        <is>
          <t>Per-post log (optional — record individual posts; averages calculate automatically)</t>
        </is>
      </c>
    </row>
    <row r="11" ht="23.25" customHeight="1">
      <c r="B11" s="17" t="inlineStr">
        <is>
          <t>Date</t>
        </is>
      </c>
      <c r="C11" s="17" t="inlineStr">
        <is>
          <t>Post / Campaign</t>
        </is>
      </c>
      <c r="D11" s="17" t="inlineStr">
        <is>
          <t>Likes</t>
        </is>
      </c>
      <c r="E11" s="17" t="inlineStr">
        <is>
          <t>Comments</t>
        </is>
      </c>
      <c r="F11" s="17" t="inlineStr">
        <is>
          <t>Shares</t>
        </is>
      </c>
      <c r="G11" s="17" t="inlineStr">
        <is>
          <t>Total Engagement</t>
        </is>
      </c>
      <c r="H11" s="17" t="inlineStr">
        <is>
          <t>Notes</t>
        </is>
      </c>
    </row>
    <row r="12" ht="15" customHeight="1">
      <c r="B12" s="24" t="inlineStr">
        <is>
          <t>2026-05-04</t>
        </is>
      </c>
      <c r="C12" s="24" t="inlineStr">
        <is>
          <t>B2B connectivity whitepaper</t>
        </is>
      </c>
      <c r="D12" s="24" t="n">
        <v>320</v>
      </c>
      <c r="E12" s="24" t="n">
        <v>41</v>
      </c>
      <c r="F12" s="24" t="n">
        <v>58</v>
      </c>
      <c r="G12" s="26">
        <f>SUM(D12:F12)</f>
        <v/>
      </c>
      <c r="H12" s="24" t="n"/>
    </row>
    <row r="13" ht="15" customHeight="1">
      <c r="B13" s="24" t="inlineStr">
        <is>
          <t>2026-05-18</t>
        </is>
      </c>
      <c r="C13" s="24" t="inlineStr">
        <is>
          <t>We are hiring - network engineers</t>
        </is>
      </c>
      <c r="D13" s="24" t="n">
        <v>540</v>
      </c>
      <c r="E13" s="24" t="n">
        <v>70</v>
      </c>
      <c r="F13" s="24" t="n">
        <v>22</v>
      </c>
      <c r="G13" s="26">
        <f>SUM(D13:F13)</f>
        <v/>
      </c>
      <c r="H13" s="24" t="n"/>
    </row>
    <row r="14" ht="15" customHeight="1">
      <c r="B14" s="24" t="inlineStr">
        <is>
          <t>2026-06-02</t>
        </is>
      </c>
      <c r="C14" s="24" t="inlineStr">
        <is>
          <t>CEO on 5G rollout</t>
        </is>
      </c>
      <c r="D14" s="24" t="n">
        <v>410</v>
      </c>
      <c r="E14" s="24" t="n">
        <v>63</v>
      </c>
      <c r="F14" s="24" t="n">
        <v>39</v>
      </c>
      <c r="G14" s="26">
        <f>SUM(D14:F14)</f>
        <v/>
      </c>
      <c r="H14" s="24" t="n"/>
    </row>
    <row r="15" ht="15" customHeight="1">
      <c r="B15" s="24" t="n"/>
      <c r="C15" s="24" t="n"/>
      <c r="D15" s="24" t="n"/>
      <c r="E15" s="24" t="n"/>
      <c r="F15" s="24" t="n"/>
      <c r="G15" s="26">
        <f>SUM(D15:F15)</f>
        <v/>
      </c>
      <c r="H15" s="24" t="n"/>
    </row>
    <row r="16" ht="15" customHeight="1">
      <c r="B16" s="24" t="n"/>
      <c r="C16" s="24" t="n"/>
      <c r="D16" s="24" t="n"/>
      <c r="E16" s="24" t="n"/>
      <c r="F16" s="24" t="n"/>
      <c r="G16" s="26">
        <f>SUM(D16:F16)</f>
        <v/>
      </c>
      <c r="H16" s="24" t="n"/>
    </row>
    <row r="17" ht="15" customHeight="1">
      <c r="B17" s="24" t="n"/>
      <c r="C17" s="24" t="n"/>
      <c r="D17" s="24" t="n"/>
      <c r="E17" s="24" t="n"/>
      <c r="F17" s="24" t="n"/>
      <c r="G17" s="26">
        <f>SUM(D17:F17)</f>
        <v/>
      </c>
      <c r="H17" s="24" t="n"/>
    </row>
    <row r="18" ht="15" customHeight="1">
      <c r="B18" s="24" t="n"/>
      <c r="C18" s="24" t="n"/>
      <c r="D18" s="24" t="n"/>
      <c r="E18" s="24" t="n"/>
      <c r="F18" s="24" t="n"/>
      <c r="G18" s="26">
        <f>SUM(D18:F18)</f>
        <v/>
      </c>
      <c r="H18" s="24" t="n"/>
    </row>
    <row r="19" ht="15" customHeight="1">
      <c r="B19" s="24" t="n"/>
      <c r="C19" s="24" t="n"/>
      <c r="D19" s="24" t="n"/>
      <c r="E19" s="24" t="n"/>
      <c r="F19" s="24" t="n"/>
      <c r="G19" s="26">
        <f>SUM(D19:F19)</f>
        <v/>
      </c>
      <c r="H19" s="24" t="n"/>
    </row>
    <row r="20" ht="15" customHeight="1">
      <c r="B20" s="24" t="n"/>
      <c r="C20" s="24" t="n"/>
      <c r="D20" s="24" t="n"/>
      <c r="E20" s="24" t="n"/>
      <c r="F20" s="24" t="n"/>
      <c r="G20" s="26">
        <f>SUM(D20:F20)</f>
        <v/>
      </c>
      <c r="H20" s="24" t="n"/>
    </row>
    <row r="21" ht="15" customHeight="1">
      <c r="B21" s="24" t="n"/>
      <c r="C21" s="24" t="n"/>
      <c r="D21" s="24" t="n"/>
      <c r="E21" s="24" t="n"/>
      <c r="F21" s="24" t="n"/>
      <c r="G21" s="26">
        <f>SUM(D21:F21)</f>
        <v/>
      </c>
      <c r="H21" s="24" t="n"/>
    </row>
    <row r="22" ht="15" customHeight="1">
      <c r="B22" s="24" t="n"/>
      <c r="C22" s="24" t="n"/>
      <c r="D22" s="24" t="n"/>
      <c r="E22" s="24" t="n"/>
      <c r="F22" s="24" t="n"/>
      <c r="G22" s="26">
        <f>SUM(D22:F22)</f>
        <v/>
      </c>
      <c r="H22" s="24" t="n"/>
    </row>
    <row r="23" ht="15" customHeight="1">
      <c r="B23" s="24" t="n"/>
      <c r="C23" s="24" t="n"/>
      <c r="D23" s="24" t="n"/>
      <c r="E23" s="24" t="n"/>
      <c r="F23" s="24" t="n"/>
      <c r="G23" s="26">
        <f>SUM(D23:F23)</f>
        <v/>
      </c>
      <c r="H23" s="24" t="n"/>
    </row>
    <row r="24" ht="15" customHeight="1">
      <c r="B24" s="24" t="n"/>
      <c r="C24" s="24" t="n"/>
      <c r="D24" s="24" t="n"/>
      <c r="E24" s="24" t="n"/>
      <c r="F24" s="24" t="n"/>
      <c r="G24" s="26">
        <f>SUM(D24:F24)</f>
        <v/>
      </c>
      <c r="H24" s="24" t="n"/>
    </row>
    <row r="25" ht="15" customHeight="1">
      <c r="B25" s="24" t="n"/>
      <c r="C25" s="24" t="n"/>
      <c r="D25" s="24" t="n"/>
      <c r="E25" s="24" t="n"/>
      <c r="F25" s="24" t="n"/>
      <c r="G25" s="26">
        <f>SUM(D25:F25)</f>
        <v/>
      </c>
      <c r="H25" s="24" t="n"/>
    </row>
    <row r="26" ht="15" customHeight="1">
      <c r="B26" s="24" t="n"/>
      <c r="C26" s="24" t="n"/>
      <c r="D26" s="24" t="n"/>
      <c r="E26" s="24" t="n"/>
      <c r="F26" s="24" t="n"/>
      <c r="G26" s="26">
        <f>SUM(D26:F26)</f>
        <v/>
      </c>
      <c r="H26" s="24" t="n"/>
    </row>
    <row r="27" ht="15" customHeight="1">
      <c r="B27" s="27" t="inlineStr">
        <is>
          <t>Average</t>
        </is>
      </c>
      <c r="C27" s="15" t="n"/>
      <c r="D27" s="28">
        <f>IFERROR(AVERAGE(D12:D26),0)</f>
        <v/>
      </c>
      <c r="E27" s="28">
        <f>IFERROR(AVERAGE(E12:E26),0)</f>
        <v/>
      </c>
      <c r="F27" s="28">
        <f>IFERROR(AVERAGE(F12:F26),0)</f>
        <v/>
      </c>
      <c r="G27" s="28">
        <f>IFERROR(AVERAGE(G12:G26),0)</f>
        <v/>
      </c>
      <c r="H27" s="15" t="n"/>
    </row>
    <row r="29" ht="15" customHeight="1">
      <c r="B29" s="3" t="inlineStr">
        <is>
          <t>Tip: 'Total Engagement' and the Average row calculate automatically from the numbers you enter.</t>
        </is>
      </c>
    </row>
    <row r="31" ht="15" customHeight="1">
      <c r="B31" s="7" t="inlineStr">
        <is>
          <t>Notes / monthly summary (observations, recurring themes, key posts, campaigns)</t>
        </is>
      </c>
    </row>
    <row r="32" ht="15" customHeight="1">
      <c r="B32" s="29" t="inlineStr">
        <is>
          <t>Thought-leadership and recruitment content perform best; B2B audience engaged.</t>
        </is>
      </c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5" t="n"/>
    </row>
    <row r="33" ht="15" customHeight="1">
      <c r="B33" s="56" t="n"/>
      <c r="N33" s="57" t="n"/>
    </row>
    <row r="34" ht="15" customHeight="1">
      <c r="B34" s="56" t="n"/>
      <c r="N34" s="57" t="n"/>
    </row>
    <row r="35" ht="15" customHeight="1">
      <c r="B35" s="56" t="n"/>
      <c r="N35" s="57" t="n"/>
    </row>
    <row r="36" ht="15" customHeight="1">
      <c r="B36" s="56" t="n"/>
      <c r="N36" s="57" t="n"/>
    </row>
    <row r="37" ht="15" customHeight="1">
      <c r="B37" s="56" t="n"/>
      <c r="N37" s="57" t="n"/>
    </row>
    <row r="38" ht="15" customHeight="1">
      <c r="B38" s="56" t="n"/>
      <c r="N38" s="57" t="n"/>
    </row>
    <row r="39" ht="15" customHeight="1">
      <c r="B39" s="58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60" t="n"/>
    </row>
    <row r="41" ht="15" customHeight="1">
      <c r="B41" s="7" t="inlineStr">
        <is>
          <t>Screenshots &amp; evidence  —  paste images below (Insert ▸ Picture)</t>
        </is>
      </c>
    </row>
    <row r="42" ht="18" customHeight="1">
      <c r="B42" s="30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2" t="n"/>
    </row>
    <row r="43" ht="18" customHeight="1">
      <c r="B43" s="33" t="n"/>
      <c r="N43" s="34" t="n"/>
    </row>
    <row r="44" ht="18" customHeight="1">
      <c r="B44" s="33" t="n"/>
      <c r="N44" s="34" t="n"/>
    </row>
    <row r="45" ht="18" customHeight="1">
      <c r="B45" s="33" t="n"/>
      <c r="N45" s="34" t="n"/>
    </row>
    <row r="46" ht="18" customHeight="1">
      <c r="B46" s="33" t="n"/>
      <c r="N46" s="34" t="n"/>
    </row>
    <row r="47" ht="18" customHeight="1">
      <c r="B47" s="33" t="n"/>
      <c r="N47" s="34" t="n"/>
    </row>
    <row r="48" ht="18" customHeight="1">
      <c r="B48" s="33" t="n"/>
      <c r="N48" s="34" t="n"/>
    </row>
    <row r="49" ht="18" customHeight="1">
      <c r="B49" s="33" t="n"/>
      <c r="N49" s="34" t="n"/>
    </row>
    <row r="50" ht="18" customHeight="1">
      <c r="B50" s="33" t="n"/>
      <c r="N50" s="34" t="n"/>
    </row>
    <row r="51" ht="18" customHeight="1">
      <c r="B51" s="33" t="n"/>
      <c r="N51" s="34" t="n"/>
    </row>
    <row r="52" ht="18" customHeight="1">
      <c r="B52" s="33" t="n"/>
      <c r="N52" s="34" t="n"/>
    </row>
    <row r="53" ht="18" customHeight="1">
      <c r="B53" s="33" t="n"/>
      <c r="H53" s="35" t="inlineStr">
        <is>
          <t>( paste screenshots here )</t>
        </is>
      </c>
      <c r="N53" s="34" t="n"/>
    </row>
    <row r="54" ht="18" customHeight="1">
      <c r="B54" s="33" t="n"/>
      <c r="N54" s="34" t="n"/>
    </row>
    <row r="55" ht="18" customHeight="1">
      <c r="B55" s="33" t="n"/>
      <c r="N55" s="34" t="n"/>
    </row>
    <row r="56" ht="18" customHeight="1">
      <c r="B56" s="33" t="n"/>
      <c r="N56" s="34" t="n"/>
    </row>
    <row r="57" ht="18" customHeight="1">
      <c r="B57" s="33" t="n"/>
      <c r="N57" s="34" t="n"/>
    </row>
    <row r="58" ht="18" customHeight="1">
      <c r="B58" s="33" t="n"/>
      <c r="N58" s="34" t="n"/>
    </row>
    <row r="59" ht="18" customHeight="1">
      <c r="B59" s="33" t="n"/>
      <c r="N59" s="34" t="n"/>
    </row>
    <row r="60" ht="18" customHeight="1">
      <c r="B60" s="33" t="n"/>
      <c r="N60" s="34" t="n"/>
    </row>
    <row r="61" ht="18" customHeight="1">
      <c r="B61" s="33" t="n"/>
      <c r="N61" s="34" t="n"/>
    </row>
    <row r="62" ht="18" customHeight="1">
      <c r="B62" s="33" t="n"/>
      <c r="N62" s="34" t="n"/>
    </row>
    <row r="63" ht="18" customHeight="1">
      <c r="B63" s="33" t="n"/>
      <c r="N63" s="34" t="n"/>
    </row>
    <row r="64" ht="18" customHeight="1">
      <c r="B64" s="36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8" t="n"/>
    </row>
  </sheetData>
  <mergeCells count="11">
    <mergeCell ref="B32:N39"/>
    <mergeCell ref="C2:N2"/>
    <mergeCell ref="B31:N31"/>
    <mergeCell ref="C3:F3"/>
    <mergeCell ref="B41:N41"/>
    <mergeCell ref="I5:K5"/>
    <mergeCell ref="C5:D5"/>
    <mergeCell ref="B29:H29"/>
    <mergeCell ref="B10:H10"/>
    <mergeCell ref="L5:M5"/>
    <mergeCell ref="E5:H5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6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1" sqref="A1"/>
    </sheetView>
  </sheetViews>
  <sheetFormatPr baseColWidth="10" defaultColWidth="8.6640625" defaultRowHeight="14.4"/>
  <cols>
    <col width="2" customWidth="1" min="1" max="1"/>
    <col width="16" customWidth="1" min="2" max="2"/>
    <col width="15" customWidth="1" min="3" max="14"/>
  </cols>
  <sheetData>
    <row r="2" ht="30" customHeight="1">
      <c r="B2" s="10" t="inlineStr">
        <is>
          <t>EY</t>
        </is>
      </c>
      <c r="C2" s="9" t="inlineStr">
        <is>
          <t>Facebook — Social Media Analysis</t>
        </is>
      </c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</row>
    <row r="3" ht="23.25" customHeight="1">
      <c r="B3" s="11" t="inlineStr">
        <is>
          <t>Account handle / URL:</t>
        </is>
      </c>
      <c r="C3" s="12" t="inlineStr">
        <is>
          <t>facebook.com/MeridianTelecom</t>
        </is>
      </c>
      <c r="D3" s="53" t="n"/>
      <c r="E3" s="53" t="n"/>
      <c r="F3" s="52" t="n"/>
    </row>
    <row r="5" ht="26.25" customHeight="1">
      <c r="B5" s="22" t="inlineStr">
        <is>
          <t>Category</t>
        </is>
      </c>
      <c r="C5" s="23" t="inlineStr">
        <is>
          <t>Account Performance</t>
        </is>
      </c>
      <c r="D5" s="52" t="n"/>
      <c r="E5" s="23" t="inlineStr">
        <is>
          <t>Engagement</t>
        </is>
      </c>
      <c r="F5" s="53" t="n"/>
      <c r="G5" s="53" t="n"/>
      <c r="H5" s="52" t="n"/>
      <c r="I5" s="23" t="inlineStr">
        <is>
          <t>Content Strategy</t>
        </is>
      </c>
      <c r="J5" s="53" t="n"/>
      <c r="K5" s="52" t="n"/>
      <c r="L5" s="23" t="inlineStr">
        <is>
          <t>Customer Support</t>
        </is>
      </c>
      <c r="M5" s="52" t="n"/>
      <c r="N5" s="23" t="inlineStr">
        <is>
          <t>Brand Perception</t>
        </is>
      </c>
    </row>
    <row r="6" ht="42" customHeight="1">
      <c r="B6" s="17" t="inlineStr">
        <is>
          <t>Criteria</t>
        </is>
      </c>
      <c r="C6" s="17" t="inlineStr">
        <is>
          <t>Page Followers &amp; Growth</t>
        </is>
      </c>
      <c r="D6" s="17" t="inlineStr">
        <is>
          <t>Page Verification</t>
        </is>
      </c>
      <c r="E6" s="17" t="inlineStr">
        <is>
          <t>Engagement Rate</t>
        </is>
      </c>
      <c r="F6" s="17" t="inlineStr">
        <is>
          <t>Post Interaction Rate</t>
        </is>
      </c>
      <c r="G6" s="17" t="inlineStr">
        <is>
          <t>Response Time to Comments</t>
        </is>
      </c>
      <c r="H6" s="17" t="inlineStr">
        <is>
          <t>Response Quality</t>
        </is>
      </c>
      <c r="I6" s="17" t="inlineStr">
        <is>
          <t>Posting Frequency</t>
        </is>
      </c>
      <c r="J6" s="17" t="inlineStr">
        <is>
          <t>Content Format Variety</t>
        </is>
      </c>
      <c r="K6" s="17" t="inlineStr">
        <is>
          <t>Campaign</t>
        </is>
      </c>
      <c r="L6" s="17" t="inlineStr">
        <is>
          <t>Complaints Handling</t>
        </is>
      </c>
      <c r="M6" s="17" t="inlineStr">
        <is>
          <t>Resolution Effectiveness</t>
        </is>
      </c>
      <c r="N6" s="17" t="inlineStr">
        <is>
          <t>Sentiment Analysis</t>
        </is>
      </c>
    </row>
    <row r="7" ht="30" customHeight="1">
      <c r="B7" s="17" t="inlineStr">
        <is>
          <t>Metric</t>
        </is>
      </c>
      <c r="C7" s="24" t="inlineStr">
        <is>
          <t>310,000 (-0.4% MoM)</t>
        </is>
      </c>
      <c r="D7" s="24" t="inlineStr">
        <is>
          <t>Verified</t>
        </is>
      </c>
      <c r="E7" s="24" t="inlineStr">
        <is>
          <t>0.9%</t>
        </is>
      </c>
      <c r="F7" s="24" t="inlineStr">
        <is>
          <t>0.11%</t>
        </is>
      </c>
      <c r="G7" s="24" t="inlineStr">
        <is>
          <t>12-24h</t>
        </is>
      </c>
      <c r="H7" s="24" t="inlineStr">
        <is>
          <t>Templated</t>
        </is>
      </c>
      <c r="I7" s="24" t="inlineStr">
        <is>
          <t>1.5 posts/day</t>
        </is>
      </c>
      <c r="J7" s="24" t="inlineStr">
        <is>
          <t>Image, Video</t>
        </is>
      </c>
      <c r="K7" s="24" t="inlineStr">
        <is>
          <t>Yes - #SummerData</t>
        </is>
      </c>
      <c r="L7" s="24" t="inlineStr">
        <is>
          <t>Slow</t>
        </is>
      </c>
      <c r="M7" s="24" t="inlineStr">
        <is>
          <t>Inconsistent</t>
        </is>
      </c>
      <c r="N7" s="24" t="inlineStr">
        <is>
          <t>32% Pos / 23% Neu / 45% Neg</t>
        </is>
      </c>
    </row>
    <row r="8" ht="25.5" customHeight="1">
      <c r="B8" s="25" t="inlineStr">
        <is>
          <t>Example</t>
        </is>
      </c>
      <c r="C8" s="25" t="inlineStr">
        <is>
          <t>e.g. 9,000 (+3% MoM)</t>
        </is>
      </c>
      <c r="D8" s="25" t="inlineStr">
        <is>
          <t>Verified</t>
        </is>
      </c>
      <c r="E8" s="25" t="inlineStr">
        <is>
          <t>2.4%</t>
        </is>
      </c>
      <c r="F8" s="25" t="inlineStr">
        <is>
          <t>0.33%</t>
        </is>
      </c>
      <c r="G8" s="25" t="inlineStr">
        <is>
          <t>&lt; 24h</t>
        </is>
      </c>
      <c r="H8" s="25" t="inlineStr">
        <is>
          <t>Personalized</t>
        </is>
      </c>
      <c r="I8" s="25" t="inlineStr">
        <is>
          <t>1.2 posts/day</t>
        </is>
      </c>
      <c r="J8" s="25" t="inlineStr">
        <is>
          <t>Image, Video, Story, Carousel</t>
        </is>
      </c>
      <c r="K8" s="25" t="inlineStr">
        <is>
          <t>Yes – #SummerPromo</t>
        </is>
      </c>
      <c r="L8" s="25" t="inlineStr">
        <is>
          <t>Responsive</t>
        </is>
      </c>
      <c r="M8" s="25" t="inlineStr">
        <is>
          <t>Effective</t>
        </is>
      </c>
      <c r="N8" s="25" t="inlineStr">
        <is>
          <t>70% Pos / 20% Neu / 10% Neg</t>
        </is>
      </c>
    </row>
    <row r="10" ht="15" customHeight="1">
      <c r="B10" s="7" t="inlineStr">
        <is>
          <t>Per-post log (optional — record individual posts; averages calculate automatically)</t>
        </is>
      </c>
    </row>
    <row r="11" ht="23.25" customHeight="1">
      <c r="B11" s="17" t="inlineStr">
        <is>
          <t>Date</t>
        </is>
      </c>
      <c r="C11" s="17" t="inlineStr">
        <is>
          <t>Post / Campaign</t>
        </is>
      </c>
      <c r="D11" s="17" t="inlineStr">
        <is>
          <t>Likes</t>
        </is>
      </c>
      <c r="E11" s="17" t="inlineStr">
        <is>
          <t>Comments</t>
        </is>
      </c>
      <c r="F11" s="17" t="inlineStr">
        <is>
          <t>Shares</t>
        </is>
      </c>
      <c r="G11" s="17" t="inlineStr">
        <is>
          <t>Total Engagement</t>
        </is>
      </c>
      <c r="H11" s="17" t="inlineStr">
        <is>
          <t>Notes</t>
        </is>
      </c>
    </row>
    <row r="12" ht="15" customHeight="1">
      <c r="B12" s="24" t="inlineStr">
        <is>
          <t>2026-05-10</t>
        </is>
      </c>
      <c r="C12" s="24" t="inlineStr">
        <is>
          <t>Summer data promo</t>
        </is>
      </c>
      <c r="D12" s="24" t="n">
        <v>210</v>
      </c>
      <c r="E12" s="24" t="n">
        <v>480</v>
      </c>
      <c r="F12" s="24" t="n">
        <v>30</v>
      </c>
      <c r="G12" s="26">
        <f>SUM(D12:F12)</f>
        <v/>
      </c>
      <c r="H12" s="24" t="n"/>
    </row>
    <row r="13" ht="15" customHeight="1">
      <c r="B13" s="24" t="inlineStr">
        <is>
          <t>2026-06-15</t>
        </is>
      </c>
      <c r="C13" s="24" t="inlineStr">
        <is>
          <t>Network maintenance notice</t>
        </is>
      </c>
      <c r="D13" s="24" t="n">
        <v>45</v>
      </c>
      <c r="E13" s="24" t="n">
        <v>390</v>
      </c>
      <c r="F13" s="24" t="n">
        <v>12</v>
      </c>
      <c r="G13" s="26">
        <f>SUM(D13:F13)</f>
        <v/>
      </c>
      <c r="H13" s="24" t="n"/>
    </row>
    <row r="14" ht="15" customHeight="1">
      <c r="B14" s="24" t="n"/>
      <c r="C14" s="24" t="n"/>
      <c r="D14" s="24" t="n"/>
      <c r="E14" s="24" t="n"/>
      <c r="F14" s="24" t="n"/>
      <c r="G14" s="26">
        <f>SUM(D14:F14)</f>
        <v/>
      </c>
      <c r="H14" s="24" t="n"/>
    </row>
    <row r="15" ht="15" customHeight="1">
      <c r="B15" s="24" t="n"/>
      <c r="C15" s="24" t="n"/>
      <c r="D15" s="24" t="n"/>
      <c r="E15" s="24" t="n"/>
      <c r="F15" s="24" t="n"/>
      <c r="G15" s="26">
        <f>SUM(D15:F15)</f>
        <v/>
      </c>
      <c r="H15" s="24" t="n"/>
    </row>
    <row r="16" ht="15" customHeight="1">
      <c r="B16" s="24" t="n"/>
      <c r="C16" s="24" t="n"/>
      <c r="D16" s="24" t="n"/>
      <c r="E16" s="24" t="n"/>
      <c r="F16" s="24" t="n"/>
      <c r="G16" s="26">
        <f>SUM(D16:F16)</f>
        <v/>
      </c>
      <c r="H16" s="24" t="n"/>
    </row>
    <row r="17" ht="15" customHeight="1">
      <c r="B17" s="24" t="n"/>
      <c r="C17" s="24" t="n"/>
      <c r="D17" s="24" t="n"/>
      <c r="E17" s="24" t="n"/>
      <c r="F17" s="24" t="n"/>
      <c r="G17" s="26">
        <f>SUM(D17:F17)</f>
        <v/>
      </c>
      <c r="H17" s="24" t="n"/>
    </row>
    <row r="18" ht="15" customHeight="1">
      <c r="B18" s="24" t="n"/>
      <c r="C18" s="24" t="n"/>
      <c r="D18" s="24" t="n"/>
      <c r="E18" s="24" t="n"/>
      <c r="F18" s="24" t="n"/>
      <c r="G18" s="26">
        <f>SUM(D18:F18)</f>
        <v/>
      </c>
      <c r="H18" s="24" t="n"/>
    </row>
    <row r="19" ht="15" customHeight="1">
      <c r="B19" s="24" t="n"/>
      <c r="C19" s="24" t="n"/>
      <c r="D19" s="24" t="n"/>
      <c r="E19" s="24" t="n"/>
      <c r="F19" s="24" t="n"/>
      <c r="G19" s="26">
        <f>SUM(D19:F19)</f>
        <v/>
      </c>
      <c r="H19" s="24" t="n"/>
    </row>
    <row r="20" ht="15" customHeight="1">
      <c r="B20" s="24" t="n"/>
      <c r="C20" s="24" t="n"/>
      <c r="D20" s="24" t="n"/>
      <c r="E20" s="24" t="n"/>
      <c r="F20" s="24" t="n"/>
      <c r="G20" s="26">
        <f>SUM(D20:F20)</f>
        <v/>
      </c>
      <c r="H20" s="24" t="n"/>
    </row>
    <row r="21" ht="15" customHeight="1">
      <c r="B21" s="24" t="n"/>
      <c r="C21" s="24" t="n"/>
      <c r="D21" s="24" t="n"/>
      <c r="E21" s="24" t="n"/>
      <c r="F21" s="24" t="n"/>
      <c r="G21" s="26">
        <f>SUM(D21:F21)</f>
        <v/>
      </c>
      <c r="H21" s="24" t="n"/>
    </row>
    <row r="22" ht="15" customHeight="1">
      <c r="B22" s="24" t="n"/>
      <c r="C22" s="24" t="n"/>
      <c r="D22" s="24" t="n"/>
      <c r="E22" s="24" t="n"/>
      <c r="F22" s="24" t="n"/>
      <c r="G22" s="26">
        <f>SUM(D22:F22)</f>
        <v/>
      </c>
      <c r="H22" s="24" t="n"/>
    </row>
    <row r="23" ht="15" customHeight="1">
      <c r="B23" s="24" t="n"/>
      <c r="C23" s="24" t="n"/>
      <c r="D23" s="24" t="n"/>
      <c r="E23" s="24" t="n"/>
      <c r="F23" s="24" t="n"/>
      <c r="G23" s="26">
        <f>SUM(D23:F23)</f>
        <v/>
      </c>
      <c r="H23" s="24" t="n"/>
    </row>
    <row r="24" ht="15" customHeight="1">
      <c r="B24" s="24" t="n"/>
      <c r="C24" s="24" t="n"/>
      <c r="D24" s="24" t="n"/>
      <c r="E24" s="24" t="n"/>
      <c r="F24" s="24" t="n"/>
      <c r="G24" s="26">
        <f>SUM(D24:F24)</f>
        <v/>
      </c>
      <c r="H24" s="24" t="n"/>
    </row>
    <row r="25" ht="15" customHeight="1">
      <c r="B25" s="24" t="n"/>
      <c r="C25" s="24" t="n"/>
      <c r="D25" s="24" t="n"/>
      <c r="E25" s="24" t="n"/>
      <c r="F25" s="24" t="n"/>
      <c r="G25" s="26">
        <f>SUM(D25:F25)</f>
        <v/>
      </c>
      <c r="H25" s="24" t="n"/>
    </row>
    <row r="26" ht="15" customHeight="1">
      <c r="B26" s="24" t="n"/>
      <c r="C26" s="24" t="n"/>
      <c r="D26" s="24" t="n"/>
      <c r="E26" s="24" t="n"/>
      <c r="F26" s="24" t="n"/>
      <c r="G26" s="26">
        <f>SUM(D26:F26)</f>
        <v/>
      </c>
      <c r="H26" s="24" t="n"/>
    </row>
    <row r="27" ht="15" customHeight="1">
      <c r="B27" s="27" t="inlineStr">
        <is>
          <t>Average</t>
        </is>
      </c>
      <c r="C27" s="15" t="n"/>
      <c r="D27" s="28">
        <f>IFERROR(AVERAGE(D12:D26),0)</f>
        <v/>
      </c>
      <c r="E27" s="28">
        <f>IFERROR(AVERAGE(E12:E26),0)</f>
        <v/>
      </c>
      <c r="F27" s="28">
        <f>IFERROR(AVERAGE(F12:F26),0)</f>
        <v/>
      </c>
      <c r="G27" s="28">
        <f>IFERROR(AVERAGE(G12:G26),0)</f>
        <v/>
      </c>
      <c r="H27" s="15" t="n"/>
    </row>
    <row r="29" ht="15" customHeight="1">
      <c r="B29" s="3" t="inlineStr">
        <is>
          <t>Tip: 'Total Engagement' and the Average row calculate automatically from the numbers you enter.</t>
        </is>
      </c>
    </row>
    <row r="31" ht="15" customHeight="1">
      <c r="B31" s="7" t="inlineStr">
        <is>
          <t>Notes / monthly summary (observations, recurring themes, key posts, campaigns)</t>
        </is>
      </c>
    </row>
    <row r="32" ht="15" customHeight="1">
      <c r="B32" s="29" t="inlineStr">
        <is>
          <t>High complaint volume on billing and outages; responses templated and slow.</t>
        </is>
      </c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5" t="n"/>
    </row>
    <row r="33" ht="15" customHeight="1">
      <c r="B33" s="56" t="n"/>
      <c r="N33" s="57" t="n"/>
    </row>
    <row r="34" ht="15" customHeight="1">
      <c r="B34" s="56" t="n"/>
      <c r="N34" s="57" t="n"/>
    </row>
    <row r="35" ht="15" customHeight="1">
      <c r="B35" s="56" t="n"/>
      <c r="N35" s="57" t="n"/>
    </row>
    <row r="36" ht="15" customHeight="1">
      <c r="B36" s="56" t="n"/>
      <c r="N36" s="57" t="n"/>
    </row>
    <row r="37" ht="15" customHeight="1">
      <c r="B37" s="56" t="n"/>
      <c r="N37" s="57" t="n"/>
    </row>
    <row r="38" ht="15" customHeight="1">
      <c r="B38" s="56" t="n"/>
      <c r="N38" s="57" t="n"/>
    </row>
    <row r="39" ht="15" customHeight="1">
      <c r="B39" s="58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60" t="n"/>
    </row>
    <row r="41" ht="15" customHeight="1">
      <c r="B41" s="7" t="inlineStr">
        <is>
          <t>Screenshots &amp; evidence  —  paste images below (Insert ▸ Picture)</t>
        </is>
      </c>
    </row>
    <row r="42" ht="18" customHeight="1">
      <c r="B42" s="30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2" t="n"/>
    </row>
    <row r="43" ht="18" customHeight="1">
      <c r="B43" s="33" t="n"/>
      <c r="N43" s="34" t="n"/>
    </row>
    <row r="44" ht="18" customHeight="1">
      <c r="B44" s="33" t="n"/>
      <c r="N44" s="34" t="n"/>
    </row>
    <row r="45" ht="18" customHeight="1">
      <c r="B45" s="33" t="n"/>
      <c r="N45" s="34" t="n"/>
    </row>
    <row r="46" ht="18" customHeight="1">
      <c r="B46" s="33" t="n"/>
      <c r="N46" s="34" t="n"/>
    </row>
    <row r="47" ht="18" customHeight="1">
      <c r="B47" s="33" t="n"/>
      <c r="N47" s="34" t="n"/>
    </row>
    <row r="48" ht="18" customHeight="1">
      <c r="B48" s="33" t="n"/>
      <c r="N48" s="34" t="n"/>
    </row>
    <row r="49" ht="18" customHeight="1">
      <c r="B49" s="33" t="n"/>
      <c r="N49" s="34" t="n"/>
    </row>
    <row r="50" ht="18" customHeight="1">
      <c r="B50" s="33" t="n"/>
      <c r="N50" s="34" t="n"/>
    </row>
    <row r="51" ht="18" customHeight="1">
      <c r="B51" s="33" t="n"/>
      <c r="N51" s="34" t="n"/>
    </row>
    <row r="52" ht="18" customHeight="1">
      <c r="B52" s="33" t="n"/>
      <c r="N52" s="34" t="n"/>
    </row>
    <row r="53" ht="18" customHeight="1">
      <c r="B53" s="33" t="n"/>
      <c r="H53" s="35" t="inlineStr">
        <is>
          <t>( paste screenshots here )</t>
        </is>
      </c>
      <c r="N53" s="34" t="n"/>
    </row>
    <row r="54" ht="18" customHeight="1">
      <c r="B54" s="33" t="n"/>
      <c r="N54" s="34" t="n"/>
    </row>
    <row r="55" ht="18" customHeight="1">
      <c r="B55" s="33" t="n"/>
      <c r="N55" s="34" t="n"/>
    </row>
    <row r="56" ht="18" customHeight="1">
      <c r="B56" s="33" t="n"/>
      <c r="N56" s="34" t="n"/>
    </row>
    <row r="57" ht="18" customHeight="1">
      <c r="B57" s="33" t="n"/>
      <c r="N57" s="34" t="n"/>
    </row>
    <row r="58" ht="18" customHeight="1">
      <c r="B58" s="33" t="n"/>
      <c r="N58" s="34" t="n"/>
    </row>
    <row r="59" ht="18" customHeight="1">
      <c r="B59" s="33" t="n"/>
      <c r="N59" s="34" t="n"/>
    </row>
    <row r="60" ht="18" customHeight="1">
      <c r="B60" s="33" t="n"/>
      <c r="N60" s="34" t="n"/>
    </row>
    <row r="61" ht="18" customHeight="1">
      <c r="B61" s="33" t="n"/>
      <c r="N61" s="34" t="n"/>
    </row>
    <row r="62" ht="18" customHeight="1">
      <c r="B62" s="33" t="n"/>
      <c r="N62" s="34" t="n"/>
    </row>
    <row r="63" ht="18" customHeight="1">
      <c r="B63" s="33" t="n"/>
      <c r="N63" s="34" t="n"/>
    </row>
    <row r="64" ht="18" customHeight="1">
      <c r="B64" s="36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8" t="n"/>
    </row>
  </sheetData>
  <mergeCells count="11">
    <mergeCell ref="B32:N39"/>
    <mergeCell ref="C2:N2"/>
    <mergeCell ref="B31:N31"/>
    <mergeCell ref="C3:F3"/>
    <mergeCell ref="B41:N41"/>
    <mergeCell ref="I5:K5"/>
    <mergeCell ref="C5:D5"/>
    <mergeCell ref="B29:H29"/>
    <mergeCell ref="B10:H10"/>
    <mergeCell ref="L5:M5"/>
    <mergeCell ref="E5:H5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1" sqref="A1"/>
    </sheetView>
  </sheetViews>
  <sheetFormatPr baseColWidth="10" defaultColWidth="8.6640625" defaultRowHeight="14.4"/>
  <cols>
    <col width="2" customWidth="1" min="1" max="1"/>
    <col width="16" customWidth="1" min="2" max="2"/>
    <col width="15" customWidth="1" min="3" max="14"/>
  </cols>
  <sheetData>
    <row r="2" ht="30" customHeight="1">
      <c r="B2" s="10" t="inlineStr">
        <is>
          <t>EY</t>
        </is>
      </c>
      <c r="C2" s="9" t="inlineStr">
        <is>
          <t>Instagram — Social Media Analysis</t>
        </is>
      </c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</row>
    <row r="3" ht="23.25" customHeight="1">
      <c r="B3" s="11" t="inlineStr">
        <is>
          <t>Account handle / URL:</t>
        </is>
      </c>
      <c r="C3" s="12" t="inlineStr">
        <is>
          <t>instagram.com/meridiantelecom</t>
        </is>
      </c>
      <c r="D3" s="53" t="n"/>
      <c r="E3" s="53" t="n"/>
      <c r="F3" s="52" t="n"/>
    </row>
    <row r="5" ht="26.25" customHeight="1">
      <c r="B5" s="22" t="inlineStr">
        <is>
          <t>Category</t>
        </is>
      </c>
      <c r="C5" s="23" t="inlineStr">
        <is>
          <t>Account Performance</t>
        </is>
      </c>
      <c r="D5" s="52" t="n"/>
      <c r="E5" s="23" t="inlineStr">
        <is>
          <t>Engagement</t>
        </is>
      </c>
      <c r="F5" s="53" t="n"/>
      <c r="G5" s="53" t="n"/>
      <c r="H5" s="52" t="n"/>
      <c r="I5" s="23" t="inlineStr">
        <is>
          <t>Content Strategy</t>
        </is>
      </c>
      <c r="J5" s="53" t="n"/>
      <c r="K5" s="52" t="n"/>
      <c r="L5" s="23" t="inlineStr">
        <is>
          <t>Customer Support</t>
        </is>
      </c>
      <c r="M5" s="52" t="n"/>
      <c r="N5" s="23" t="inlineStr">
        <is>
          <t>Brand Perception</t>
        </is>
      </c>
    </row>
    <row r="6" ht="42" customHeight="1">
      <c r="B6" s="17" t="inlineStr">
        <is>
          <t>Criteria</t>
        </is>
      </c>
      <c r="C6" s="17" t="inlineStr">
        <is>
          <t>Page Followers &amp; Growth</t>
        </is>
      </c>
      <c r="D6" s="17" t="inlineStr">
        <is>
          <t>Page Verification</t>
        </is>
      </c>
      <c r="E6" s="17" t="inlineStr">
        <is>
          <t>Engagement Rate</t>
        </is>
      </c>
      <c r="F6" s="17" t="inlineStr">
        <is>
          <t>Post Interaction Rate</t>
        </is>
      </c>
      <c r="G6" s="17" t="inlineStr">
        <is>
          <t>Response Time to Comments</t>
        </is>
      </c>
      <c r="H6" s="17" t="inlineStr">
        <is>
          <t>Response Quality</t>
        </is>
      </c>
      <c r="I6" s="17" t="inlineStr">
        <is>
          <t>Posting Frequency</t>
        </is>
      </c>
      <c r="J6" s="17" t="inlineStr">
        <is>
          <t>Content Format Variety</t>
        </is>
      </c>
      <c r="K6" s="17" t="inlineStr">
        <is>
          <t>Campaign</t>
        </is>
      </c>
      <c r="L6" s="17" t="inlineStr">
        <is>
          <t>Complaints Handling</t>
        </is>
      </c>
      <c r="M6" s="17" t="inlineStr">
        <is>
          <t>Resolution Effectiveness</t>
        </is>
      </c>
      <c r="N6" s="17" t="inlineStr">
        <is>
          <t>Sentiment Analysis</t>
        </is>
      </c>
    </row>
    <row r="7" ht="30" customHeight="1">
      <c r="B7" s="17" t="inlineStr">
        <is>
          <t>Metric</t>
        </is>
      </c>
      <c r="C7" s="24" t="inlineStr">
        <is>
          <t>88,000 (+3.7% MoM)</t>
        </is>
      </c>
      <c r="D7" s="24" t="inlineStr">
        <is>
          <t>Verified</t>
        </is>
      </c>
      <c r="E7" s="24" t="inlineStr">
        <is>
          <t>3.1%</t>
        </is>
      </c>
      <c r="F7" s="24" t="inlineStr">
        <is>
          <t>0.52%</t>
        </is>
      </c>
      <c r="G7" s="24" t="n"/>
      <c r="H7" s="24" t="n"/>
      <c r="I7" s="24" t="inlineStr">
        <is>
          <t>1 post/day</t>
        </is>
      </c>
      <c r="J7" s="24" t="inlineStr">
        <is>
          <t>Reel, Story, Image</t>
        </is>
      </c>
      <c r="K7" s="24" t="inlineStr">
        <is>
          <t>Yes - #DataForStudents</t>
        </is>
      </c>
      <c r="L7" s="24" t="n"/>
      <c r="M7" s="24" t="n"/>
      <c r="N7" s="24" t="inlineStr">
        <is>
          <t>61% Pos / 24% Neu / 15% Neg</t>
        </is>
      </c>
    </row>
    <row r="8" ht="25.5" customHeight="1">
      <c r="B8" s="25" t="inlineStr">
        <is>
          <t>Example</t>
        </is>
      </c>
      <c r="C8" s="25" t="inlineStr">
        <is>
          <t>e.g. 9,000 (+3% MoM)</t>
        </is>
      </c>
      <c r="D8" s="25" t="inlineStr">
        <is>
          <t>Verified</t>
        </is>
      </c>
      <c r="E8" s="25" t="inlineStr">
        <is>
          <t>2.4%</t>
        </is>
      </c>
      <c r="F8" s="25" t="inlineStr">
        <is>
          <t>0.33%</t>
        </is>
      </c>
      <c r="G8" s="25" t="inlineStr">
        <is>
          <t>&lt; 24h</t>
        </is>
      </c>
      <c r="H8" s="25" t="inlineStr">
        <is>
          <t>Personalized</t>
        </is>
      </c>
      <c r="I8" s="25" t="inlineStr">
        <is>
          <t>1.2 posts/day</t>
        </is>
      </c>
      <c r="J8" s="25" t="inlineStr">
        <is>
          <t>Image, Video, Story, Carousel</t>
        </is>
      </c>
      <c r="K8" s="25" t="inlineStr">
        <is>
          <t>Yes – #SummerPromo</t>
        </is>
      </c>
      <c r="L8" s="25" t="inlineStr">
        <is>
          <t>Responsive</t>
        </is>
      </c>
      <c r="M8" s="25" t="inlineStr">
        <is>
          <t>Effective</t>
        </is>
      </c>
      <c r="N8" s="25" t="inlineStr">
        <is>
          <t>70% Pos / 20% Neu / 10% Neg</t>
        </is>
      </c>
    </row>
    <row r="10" ht="15" customHeight="1">
      <c r="B10" s="7" t="inlineStr">
        <is>
          <t>Per-post log (optional — record individual posts; averages calculate automatically)</t>
        </is>
      </c>
    </row>
    <row r="11" ht="23.25" customHeight="1">
      <c r="B11" s="17" t="inlineStr">
        <is>
          <t>Date</t>
        </is>
      </c>
      <c r="C11" s="17" t="inlineStr">
        <is>
          <t>Post / Campaign</t>
        </is>
      </c>
      <c r="D11" s="17" t="inlineStr">
        <is>
          <t>Likes</t>
        </is>
      </c>
      <c r="E11" s="17" t="inlineStr">
        <is>
          <t>Comments</t>
        </is>
      </c>
      <c r="F11" s="17" t="inlineStr">
        <is>
          <t>Shares</t>
        </is>
      </c>
      <c r="G11" s="17" t="inlineStr">
        <is>
          <t>Total Engagement</t>
        </is>
      </c>
      <c r="H11" s="17" t="inlineStr">
        <is>
          <t>Notes</t>
        </is>
      </c>
    </row>
    <row r="12" ht="15" customHeight="1">
      <c r="B12" s="24" t="inlineStr">
        <is>
          <t>2026-05-22</t>
        </is>
      </c>
      <c r="C12" s="24" t="inlineStr">
        <is>
          <t>Student plan reel</t>
        </is>
      </c>
      <c r="D12" s="24" t="n">
        <v>4200</v>
      </c>
      <c r="E12" s="24" t="n">
        <v>180</v>
      </c>
      <c r="F12" s="24" t="n">
        <v>320</v>
      </c>
      <c r="G12" s="26">
        <f>SUM(D12:F12)</f>
        <v/>
      </c>
      <c r="H12" s="24" t="n"/>
    </row>
    <row r="13" ht="15" customHeight="1">
      <c r="B13" s="24" t="n"/>
      <c r="C13" s="24" t="n"/>
      <c r="D13" s="24" t="n"/>
      <c r="E13" s="24" t="n"/>
      <c r="F13" s="24" t="n"/>
      <c r="G13" s="26">
        <f>SUM(D13:F13)</f>
        <v/>
      </c>
      <c r="H13" s="24" t="n"/>
    </row>
    <row r="14" ht="15" customHeight="1">
      <c r="B14" s="24" t="n"/>
      <c r="C14" s="24" t="n"/>
      <c r="D14" s="24" t="n"/>
      <c r="E14" s="24" t="n"/>
      <c r="F14" s="24" t="n"/>
      <c r="G14" s="26">
        <f>SUM(D14:F14)</f>
        <v/>
      </c>
      <c r="H14" s="24" t="n"/>
    </row>
    <row r="15" ht="15" customHeight="1">
      <c r="B15" s="24" t="n"/>
      <c r="C15" s="24" t="n"/>
      <c r="D15" s="24" t="n"/>
      <c r="E15" s="24" t="n"/>
      <c r="F15" s="24" t="n"/>
      <c r="G15" s="26">
        <f>SUM(D15:F15)</f>
        <v/>
      </c>
      <c r="H15" s="24" t="n"/>
    </row>
    <row r="16" ht="15" customHeight="1">
      <c r="B16" s="24" t="n"/>
      <c r="C16" s="24" t="n"/>
      <c r="D16" s="24" t="n"/>
      <c r="E16" s="24" t="n"/>
      <c r="F16" s="24" t="n"/>
      <c r="G16" s="26">
        <f>SUM(D16:F16)</f>
        <v/>
      </c>
      <c r="H16" s="24" t="n"/>
    </row>
    <row r="17" ht="15" customHeight="1">
      <c r="B17" s="24" t="n"/>
      <c r="C17" s="24" t="n"/>
      <c r="D17" s="24" t="n"/>
      <c r="E17" s="24" t="n"/>
      <c r="F17" s="24" t="n"/>
      <c r="G17" s="26">
        <f>SUM(D17:F17)</f>
        <v/>
      </c>
      <c r="H17" s="24" t="n"/>
    </row>
    <row r="18" ht="15" customHeight="1">
      <c r="B18" s="24" t="n"/>
      <c r="C18" s="24" t="n"/>
      <c r="D18" s="24" t="n"/>
      <c r="E18" s="24" t="n"/>
      <c r="F18" s="24" t="n"/>
      <c r="G18" s="26">
        <f>SUM(D18:F18)</f>
        <v/>
      </c>
      <c r="H18" s="24" t="n"/>
    </row>
    <row r="19" ht="15" customHeight="1">
      <c r="B19" s="24" t="n"/>
      <c r="C19" s="24" t="n"/>
      <c r="D19" s="24" t="n"/>
      <c r="E19" s="24" t="n"/>
      <c r="F19" s="24" t="n"/>
      <c r="G19" s="26">
        <f>SUM(D19:F19)</f>
        <v/>
      </c>
      <c r="H19" s="24" t="n"/>
    </row>
    <row r="20" ht="15" customHeight="1">
      <c r="B20" s="24" t="n"/>
      <c r="C20" s="24" t="n"/>
      <c r="D20" s="24" t="n"/>
      <c r="E20" s="24" t="n"/>
      <c r="F20" s="24" t="n"/>
      <c r="G20" s="26">
        <f>SUM(D20:F20)</f>
        <v/>
      </c>
      <c r="H20" s="24" t="n"/>
    </row>
    <row r="21" ht="15" customHeight="1">
      <c r="B21" s="24" t="n"/>
      <c r="C21" s="24" t="n"/>
      <c r="D21" s="24" t="n"/>
      <c r="E21" s="24" t="n"/>
      <c r="F21" s="24" t="n"/>
      <c r="G21" s="26">
        <f>SUM(D21:F21)</f>
        <v/>
      </c>
      <c r="H21" s="24" t="n"/>
    </row>
    <row r="22" ht="15" customHeight="1">
      <c r="B22" s="24" t="n"/>
      <c r="C22" s="24" t="n"/>
      <c r="D22" s="24" t="n"/>
      <c r="E22" s="24" t="n"/>
      <c r="F22" s="24" t="n"/>
      <c r="G22" s="26">
        <f>SUM(D22:F22)</f>
        <v/>
      </c>
      <c r="H22" s="24" t="n"/>
    </row>
    <row r="23" ht="15" customHeight="1">
      <c r="B23" s="24" t="n"/>
      <c r="C23" s="24" t="n"/>
      <c r="D23" s="24" t="n"/>
      <c r="E23" s="24" t="n"/>
      <c r="F23" s="24" t="n"/>
      <c r="G23" s="26">
        <f>SUM(D23:F23)</f>
        <v/>
      </c>
      <c r="H23" s="24" t="n"/>
    </row>
    <row r="24" ht="15" customHeight="1">
      <c r="B24" s="24" t="n"/>
      <c r="C24" s="24" t="n"/>
      <c r="D24" s="24" t="n"/>
      <c r="E24" s="24" t="n"/>
      <c r="F24" s="24" t="n"/>
      <c r="G24" s="26">
        <f>SUM(D24:F24)</f>
        <v/>
      </c>
      <c r="H24" s="24" t="n"/>
    </row>
    <row r="25" ht="15" customHeight="1">
      <c r="B25" s="24" t="n"/>
      <c r="C25" s="24" t="n"/>
      <c r="D25" s="24" t="n"/>
      <c r="E25" s="24" t="n"/>
      <c r="F25" s="24" t="n"/>
      <c r="G25" s="26">
        <f>SUM(D25:F25)</f>
        <v/>
      </c>
      <c r="H25" s="24" t="n"/>
    </row>
    <row r="26" ht="15" customHeight="1">
      <c r="B26" s="24" t="n"/>
      <c r="C26" s="24" t="n"/>
      <c r="D26" s="24" t="n"/>
      <c r="E26" s="24" t="n"/>
      <c r="F26" s="24" t="n"/>
      <c r="G26" s="26">
        <f>SUM(D26:F26)</f>
        <v/>
      </c>
      <c r="H26" s="24" t="n"/>
    </row>
    <row r="27" ht="15" customHeight="1">
      <c r="B27" s="27" t="inlineStr">
        <is>
          <t>Average</t>
        </is>
      </c>
      <c r="C27" s="15" t="n"/>
      <c r="D27" s="28">
        <f>IFERROR(AVERAGE(D12:D26),0)</f>
        <v/>
      </c>
      <c r="E27" s="28">
        <f>IFERROR(AVERAGE(E12:E26),0)</f>
        <v/>
      </c>
      <c r="F27" s="28">
        <f>IFERROR(AVERAGE(F12:F26),0)</f>
        <v/>
      </c>
      <c r="G27" s="28">
        <f>IFERROR(AVERAGE(G12:G26),0)</f>
        <v/>
      </c>
      <c r="H27" s="15" t="n"/>
    </row>
    <row r="29" ht="15" customHeight="1">
      <c r="B29" s="3" t="inlineStr">
        <is>
          <t>Tip: 'Total Engagement' and the Average row calculate automatically from the numbers you enter.</t>
        </is>
      </c>
    </row>
    <row r="31" ht="15" customHeight="1">
      <c r="B31" s="7" t="inlineStr">
        <is>
          <t>Notes / monthly summary (observations, recurring themes, key posts, campaigns)</t>
        </is>
      </c>
    </row>
    <row r="32" ht="15" customHeight="1">
      <c r="B32" s="29" t="inlineStr">
        <is>
          <t>Younger audience; reels on data offers perform best. Little support activity here.</t>
        </is>
      </c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5" t="n"/>
    </row>
    <row r="33" ht="15" customHeight="1">
      <c r="B33" s="56" t="n"/>
      <c r="N33" s="57" t="n"/>
    </row>
    <row r="34" ht="15" customHeight="1">
      <c r="B34" s="56" t="n"/>
      <c r="N34" s="57" t="n"/>
    </row>
    <row r="35" ht="15" customHeight="1">
      <c r="B35" s="56" t="n"/>
      <c r="N35" s="57" t="n"/>
    </row>
    <row r="36" ht="15" customHeight="1">
      <c r="B36" s="56" t="n"/>
      <c r="N36" s="57" t="n"/>
    </row>
    <row r="37" ht="15" customHeight="1">
      <c r="B37" s="56" t="n"/>
      <c r="N37" s="57" t="n"/>
    </row>
    <row r="38" ht="15" customHeight="1">
      <c r="B38" s="56" t="n"/>
      <c r="N38" s="57" t="n"/>
    </row>
    <row r="39" ht="15" customHeight="1">
      <c r="B39" s="58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60" t="n"/>
    </row>
    <row r="41" ht="15" customHeight="1">
      <c r="B41" s="7" t="inlineStr">
        <is>
          <t>Screenshots &amp; evidence  —  paste images below (Insert ▸ Picture)</t>
        </is>
      </c>
    </row>
    <row r="42" ht="18" customHeight="1">
      <c r="B42" s="30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2" t="n"/>
    </row>
    <row r="43" ht="18" customHeight="1">
      <c r="B43" s="33" t="n"/>
      <c r="N43" s="34" t="n"/>
    </row>
    <row r="44" ht="18" customHeight="1">
      <c r="B44" s="33" t="n"/>
      <c r="N44" s="34" t="n"/>
    </row>
    <row r="45" ht="18" customHeight="1">
      <c r="B45" s="33" t="n"/>
      <c r="N45" s="34" t="n"/>
    </row>
    <row r="46" ht="18" customHeight="1">
      <c r="B46" s="33" t="n"/>
      <c r="N46" s="34" t="n"/>
    </row>
    <row r="47" ht="18" customHeight="1">
      <c r="B47" s="33" t="n"/>
      <c r="N47" s="34" t="n"/>
    </row>
    <row r="48" ht="18" customHeight="1">
      <c r="B48" s="33" t="n"/>
      <c r="N48" s="34" t="n"/>
    </row>
    <row r="49" ht="18" customHeight="1">
      <c r="B49" s="33" t="n"/>
      <c r="N49" s="34" t="n"/>
    </row>
    <row r="50" ht="18" customHeight="1">
      <c r="B50" s="33" t="n"/>
      <c r="N50" s="34" t="n"/>
    </row>
    <row r="51" ht="18" customHeight="1">
      <c r="B51" s="33" t="n"/>
      <c r="N51" s="34" t="n"/>
    </row>
    <row r="52" ht="18" customHeight="1">
      <c r="B52" s="33" t="n"/>
      <c r="N52" s="34" t="n"/>
    </row>
    <row r="53" ht="18" customHeight="1">
      <c r="B53" s="33" t="n"/>
      <c r="H53" s="35" t="inlineStr">
        <is>
          <t>( paste screenshots here )</t>
        </is>
      </c>
      <c r="N53" s="34" t="n"/>
    </row>
    <row r="54" ht="18" customHeight="1">
      <c r="B54" s="33" t="n"/>
      <c r="N54" s="34" t="n"/>
    </row>
    <row r="55" ht="18" customHeight="1">
      <c r="B55" s="33" t="n"/>
      <c r="N55" s="34" t="n"/>
    </row>
    <row r="56" ht="18" customHeight="1">
      <c r="B56" s="33" t="n"/>
      <c r="N56" s="34" t="n"/>
    </row>
    <row r="57" ht="18" customHeight="1">
      <c r="B57" s="33" t="n"/>
      <c r="N57" s="34" t="n"/>
    </row>
    <row r="58" ht="18" customHeight="1">
      <c r="B58" s="33" t="n"/>
      <c r="N58" s="34" t="n"/>
    </row>
    <row r="59" ht="18" customHeight="1">
      <c r="B59" s="33" t="n"/>
      <c r="N59" s="34" t="n"/>
    </row>
    <row r="60" ht="18" customHeight="1">
      <c r="B60" s="33" t="n"/>
      <c r="N60" s="34" t="n"/>
    </row>
    <row r="61" ht="18" customHeight="1">
      <c r="B61" s="33" t="n"/>
      <c r="N61" s="34" t="n"/>
    </row>
    <row r="62" ht="18" customHeight="1">
      <c r="B62" s="33" t="n"/>
      <c r="N62" s="34" t="n"/>
    </row>
    <row r="63" ht="18" customHeight="1">
      <c r="B63" s="33" t="n"/>
      <c r="N63" s="34" t="n"/>
    </row>
    <row r="64" ht="18" customHeight="1">
      <c r="B64" s="36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8" t="n"/>
    </row>
  </sheetData>
  <mergeCells count="11">
    <mergeCell ref="B32:N39"/>
    <mergeCell ref="C2:N2"/>
    <mergeCell ref="B31:N31"/>
    <mergeCell ref="C3:F3"/>
    <mergeCell ref="B41:N41"/>
    <mergeCell ref="I5:K5"/>
    <mergeCell ref="C5:D5"/>
    <mergeCell ref="B29:H29"/>
    <mergeCell ref="B10:H10"/>
    <mergeCell ref="L5:M5"/>
    <mergeCell ref="E5:H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6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1" sqref="A1"/>
    </sheetView>
  </sheetViews>
  <sheetFormatPr baseColWidth="10" defaultColWidth="8.6640625" defaultRowHeight="14.4"/>
  <cols>
    <col width="2" customWidth="1" min="1" max="1"/>
    <col width="16" customWidth="1" min="2" max="2"/>
    <col width="15" customWidth="1" min="3" max="14"/>
  </cols>
  <sheetData>
    <row r="2" ht="30" customHeight="1">
      <c r="B2" s="10" t="inlineStr">
        <is>
          <t>EY</t>
        </is>
      </c>
      <c r="C2" s="9" t="inlineStr">
        <is>
          <t>X (ex Twitter) — Social Media Analysis</t>
        </is>
      </c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</row>
    <row r="3" ht="23.25" customHeight="1">
      <c r="B3" s="11" t="inlineStr">
        <is>
          <t>Account handle / URL:</t>
        </is>
      </c>
      <c r="C3" s="12" t="inlineStr">
        <is>
          <t>x.com/meridiantelecom</t>
        </is>
      </c>
      <c r="D3" s="53" t="n"/>
      <c r="E3" s="53" t="n"/>
      <c r="F3" s="52" t="n"/>
    </row>
    <row r="5" ht="26.25" customHeight="1">
      <c r="B5" s="22" t="inlineStr">
        <is>
          <t>Category</t>
        </is>
      </c>
      <c r="C5" s="23" t="inlineStr">
        <is>
          <t>Account Performance</t>
        </is>
      </c>
      <c r="D5" s="52" t="n"/>
      <c r="E5" s="23" t="inlineStr">
        <is>
          <t>Engagement</t>
        </is>
      </c>
      <c r="F5" s="53" t="n"/>
      <c r="G5" s="53" t="n"/>
      <c r="H5" s="52" t="n"/>
      <c r="I5" s="23" t="inlineStr">
        <is>
          <t>Content Strategy</t>
        </is>
      </c>
      <c r="J5" s="53" t="n"/>
      <c r="K5" s="52" t="n"/>
      <c r="L5" s="23" t="inlineStr">
        <is>
          <t>Customer Support</t>
        </is>
      </c>
      <c r="M5" s="52" t="n"/>
      <c r="N5" s="23" t="inlineStr">
        <is>
          <t>Brand Perception</t>
        </is>
      </c>
    </row>
    <row r="6" ht="42" customHeight="1">
      <c r="B6" s="17" t="inlineStr">
        <is>
          <t>Criteria</t>
        </is>
      </c>
      <c r="C6" s="17" t="inlineStr">
        <is>
          <t>Page Followers &amp; Growth</t>
        </is>
      </c>
      <c r="D6" s="17" t="inlineStr">
        <is>
          <t>Page Verification</t>
        </is>
      </c>
      <c r="E6" s="17" t="inlineStr">
        <is>
          <t>Engagement Rate</t>
        </is>
      </c>
      <c r="F6" s="17" t="inlineStr">
        <is>
          <t>Post Interaction Rate</t>
        </is>
      </c>
      <c r="G6" s="17" t="inlineStr">
        <is>
          <t>Response Time to Comments</t>
        </is>
      </c>
      <c r="H6" s="17" t="inlineStr">
        <is>
          <t>Response Quality</t>
        </is>
      </c>
      <c r="I6" s="17" t="inlineStr">
        <is>
          <t>Posting Frequency</t>
        </is>
      </c>
      <c r="J6" s="17" t="inlineStr">
        <is>
          <t>Content Format Variety</t>
        </is>
      </c>
      <c r="K6" s="17" t="inlineStr">
        <is>
          <t>Campaign</t>
        </is>
      </c>
      <c r="L6" s="17" t="inlineStr">
        <is>
          <t>Complaints Handling</t>
        </is>
      </c>
      <c r="M6" s="17" t="inlineStr">
        <is>
          <t>Resolution Effectiveness</t>
        </is>
      </c>
      <c r="N6" s="17" t="inlineStr">
        <is>
          <t>Sentiment Analysis</t>
        </is>
      </c>
    </row>
    <row r="7" ht="30" customHeight="1">
      <c r="B7" s="17" t="inlineStr">
        <is>
          <t>Metric</t>
        </is>
      </c>
      <c r="C7" s="24" t="inlineStr">
        <is>
          <t>25,000 (flat)</t>
        </is>
      </c>
      <c r="D7" s="24" t="inlineStr">
        <is>
          <t>Verified</t>
        </is>
      </c>
      <c r="E7" s="24" t="n"/>
      <c r="F7" s="24" t="n"/>
      <c r="G7" s="24" t="inlineStr">
        <is>
          <t>&lt; 2h</t>
        </is>
      </c>
      <c r="H7" s="24" t="inlineStr">
        <is>
          <t>Personalized</t>
        </is>
      </c>
      <c r="I7" s="24" t="inlineStr">
        <is>
          <t>2 posts/day</t>
        </is>
      </c>
      <c r="J7" s="24" t="inlineStr">
        <is>
          <t>Text, Image</t>
        </is>
      </c>
      <c r="K7" s="24" t="n"/>
      <c r="L7" s="24" t="inlineStr">
        <is>
          <t>Responsive</t>
        </is>
      </c>
      <c r="M7" s="24" t="inlineStr">
        <is>
          <t>Inconsistent</t>
        </is>
      </c>
      <c r="N7" s="24" t="inlineStr">
        <is>
          <t>40% Pos / 20% Neu / 40% Neg</t>
        </is>
      </c>
    </row>
    <row r="8" ht="25.5" customHeight="1">
      <c r="B8" s="25" t="inlineStr">
        <is>
          <t>Example</t>
        </is>
      </c>
      <c r="C8" s="25" t="inlineStr">
        <is>
          <t>e.g. 9,000 (+3% MoM)</t>
        </is>
      </c>
      <c r="D8" s="25" t="inlineStr">
        <is>
          <t>Verified</t>
        </is>
      </c>
      <c r="E8" s="25" t="inlineStr">
        <is>
          <t>2.4%</t>
        </is>
      </c>
      <c r="F8" s="25" t="inlineStr">
        <is>
          <t>0.33%</t>
        </is>
      </c>
      <c r="G8" s="25" t="inlineStr">
        <is>
          <t>&lt; 24h</t>
        </is>
      </c>
      <c r="H8" s="25" t="inlineStr">
        <is>
          <t>Personalized</t>
        </is>
      </c>
      <c r="I8" s="25" t="inlineStr">
        <is>
          <t>1.2 posts/day</t>
        </is>
      </c>
      <c r="J8" s="25" t="inlineStr">
        <is>
          <t>Image, Video, Story, Carousel</t>
        </is>
      </c>
      <c r="K8" s="25" t="inlineStr">
        <is>
          <t>Yes – #SummerPromo</t>
        </is>
      </c>
      <c r="L8" s="25" t="inlineStr">
        <is>
          <t>Responsive</t>
        </is>
      </c>
      <c r="M8" s="25" t="inlineStr">
        <is>
          <t>Effective</t>
        </is>
      </c>
      <c r="N8" s="25" t="inlineStr">
        <is>
          <t>70% Pos / 20% Neu / 10% Neg</t>
        </is>
      </c>
    </row>
    <row r="10" ht="15" customHeight="1">
      <c r="B10" s="7" t="inlineStr">
        <is>
          <t>Per-post log (optional — record individual posts; averages calculate automatically)</t>
        </is>
      </c>
    </row>
    <row r="11" ht="23.25" customHeight="1">
      <c r="B11" s="17" t="inlineStr">
        <is>
          <t>Date</t>
        </is>
      </c>
      <c r="C11" s="17" t="inlineStr">
        <is>
          <t>Post / Campaign</t>
        </is>
      </c>
      <c r="D11" s="17" t="inlineStr">
        <is>
          <t>Likes</t>
        </is>
      </c>
      <c r="E11" s="17" t="inlineStr">
        <is>
          <t>Comments</t>
        </is>
      </c>
      <c r="F11" s="17" t="inlineStr">
        <is>
          <t>Shares</t>
        </is>
      </c>
      <c r="G11" s="17" t="inlineStr">
        <is>
          <t>Total Engagement</t>
        </is>
      </c>
      <c r="H11" s="17" t="inlineStr">
        <is>
          <t>Notes</t>
        </is>
      </c>
    </row>
    <row r="12" ht="15" customHeight="1">
      <c r="B12" s="24" t="n"/>
      <c r="C12" s="24" t="n"/>
      <c r="D12" s="24" t="n"/>
      <c r="E12" s="24" t="n"/>
      <c r="F12" s="24" t="n"/>
      <c r="G12" s="26">
        <f>SUM(D12:F12)</f>
        <v/>
      </c>
      <c r="H12" s="24" t="n"/>
    </row>
    <row r="13" ht="15" customHeight="1">
      <c r="B13" s="24" t="n"/>
      <c r="C13" s="24" t="n"/>
      <c r="D13" s="24" t="n"/>
      <c r="E13" s="24" t="n"/>
      <c r="F13" s="24" t="n"/>
      <c r="G13" s="26">
        <f>SUM(D13:F13)</f>
        <v/>
      </c>
      <c r="H13" s="24" t="n"/>
    </row>
    <row r="14" ht="15" customHeight="1">
      <c r="B14" s="24" t="n"/>
      <c r="C14" s="24" t="n"/>
      <c r="D14" s="24" t="n"/>
      <c r="E14" s="24" t="n"/>
      <c r="F14" s="24" t="n"/>
      <c r="G14" s="26">
        <f>SUM(D14:F14)</f>
        <v/>
      </c>
      <c r="H14" s="24" t="n"/>
    </row>
    <row r="15" ht="15" customHeight="1">
      <c r="B15" s="24" t="n"/>
      <c r="C15" s="24" t="n"/>
      <c r="D15" s="24" t="n"/>
      <c r="E15" s="24" t="n"/>
      <c r="F15" s="24" t="n"/>
      <c r="G15" s="26">
        <f>SUM(D15:F15)</f>
        <v/>
      </c>
      <c r="H15" s="24" t="n"/>
    </row>
    <row r="16" ht="15" customHeight="1">
      <c r="B16" s="24" t="n"/>
      <c r="C16" s="24" t="n"/>
      <c r="D16" s="24" t="n"/>
      <c r="E16" s="24" t="n"/>
      <c r="F16" s="24" t="n"/>
      <c r="G16" s="26">
        <f>SUM(D16:F16)</f>
        <v/>
      </c>
      <c r="H16" s="24" t="n"/>
    </row>
    <row r="17" ht="15" customHeight="1">
      <c r="B17" s="24" t="n"/>
      <c r="C17" s="24" t="n"/>
      <c r="D17" s="24" t="n"/>
      <c r="E17" s="24" t="n"/>
      <c r="F17" s="24" t="n"/>
      <c r="G17" s="26">
        <f>SUM(D17:F17)</f>
        <v/>
      </c>
      <c r="H17" s="24" t="n"/>
    </row>
    <row r="18" ht="15" customHeight="1">
      <c r="B18" s="24" t="n"/>
      <c r="C18" s="24" t="n"/>
      <c r="D18" s="24" t="n"/>
      <c r="E18" s="24" t="n"/>
      <c r="F18" s="24" t="n"/>
      <c r="G18" s="26">
        <f>SUM(D18:F18)</f>
        <v/>
      </c>
      <c r="H18" s="24" t="n"/>
    </row>
    <row r="19" ht="15" customHeight="1">
      <c r="B19" s="24" t="n"/>
      <c r="C19" s="24" t="n"/>
      <c r="D19" s="24" t="n"/>
      <c r="E19" s="24" t="n"/>
      <c r="F19" s="24" t="n"/>
      <c r="G19" s="26">
        <f>SUM(D19:F19)</f>
        <v/>
      </c>
      <c r="H19" s="24" t="n"/>
    </row>
    <row r="20" ht="15" customHeight="1">
      <c r="B20" s="24" t="n"/>
      <c r="C20" s="24" t="n"/>
      <c r="D20" s="24" t="n"/>
      <c r="E20" s="24" t="n"/>
      <c r="F20" s="24" t="n"/>
      <c r="G20" s="26">
        <f>SUM(D20:F20)</f>
        <v/>
      </c>
      <c r="H20" s="24" t="n"/>
    </row>
    <row r="21" ht="15" customHeight="1">
      <c r="B21" s="24" t="n"/>
      <c r="C21" s="24" t="n"/>
      <c r="D21" s="24" t="n"/>
      <c r="E21" s="24" t="n"/>
      <c r="F21" s="24" t="n"/>
      <c r="G21" s="26">
        <f>SUM(D21:F21)</f>
        <v/>
      </c>
      <c r="H21" s="24" t="n"/>
    </row>
    <row r="22" ht="15" customHeight="1">
      <c r="B22" s="24" t="n"/>
      <c r="C22" s="24" t="n"/>
      <c r="D22" s="24" t="n"/>
      <c r="E22" s="24" t="n"/>
      <c r="F22" s="24" t="n"/>
      <c r="G22" s="26">
        <f>SUM(D22:F22)</f>
        <v/>
      </c>
      <c r="H22" s="24" t="n"/>
    </row>
    <row r="23" ht="15" customHeight="1">
      <c r="B23" s="24" t="n"/>
      <c r="C23" s="24" t="n"/>
      <c r="D23" s="24" t="n"/>
      <c r="E23" s="24" t="n"/>
      <c r="F23" s="24" t="n"/>
      <c r="G23" s="26">
        <f>SUM(D23:F23)</f>
        <v/>
      </c>
      <c r="H23" s="24" t="n"/>
    </row>
    <row r="24" ht="15" customHeight="1">
      <c r="B24" s="24" t="n"/>
      <c r="C24" s="24" t="n"/>
      <c r="D24" s="24" t="n"/>
      <c r="E24" s="24" t="n"/>
      <c r="F24" s="24" t="n"/>
      <c r="G24" s="26">
        <f>SUM(D24:F24)</f>
        <v/>
      </c>
      <c r="H24" s="24" t="n"/>
    </row>
    <row r="25" ht="15" customHeight="1">
      <c r="B25" s="24" t="n"/>
      <c r="C25" s="24" t="n"/>
      <c r="D25" s="24" t="n"/>
      <c r="E25" s="24" t="n"/>
      <c r="F25" s="24" t="n"/>
      <c r="G25" s="26">
        <f>SUM(D25:F25)</f>
        <v/>
      </c>
      <c r="H25" s="24" t="n"/>
    </row>
    <row r="26" ht="15" customHeight="1">
      <c r="B26" s="24" t="n"/>
      <c r="C26" s="24" t="n"/>
      <c r="D26" s="24" t="n"/>
      <c r="E26" s="24" t="n"/>
      <c r="F26" s="24" t="n"/>
      <c r="G26" s="26">
        <f>SUM(D26:F26)</f>
        <v/>
      </c>
      <c r="H26" s="24" t="n"/>
    </row>
    <row r="27" ht="15" customHeight="1">
      <c r="B27" s="27" t="inlineStr">
        <is>
          <t>Average</t>
        </is>
      </c>
      <c r="C27" s="15" t="n"/>
      <c r="D27" s="28">
        <f>IFERROR(AVERAGE(D12:D26),0)</f>
        <v/>
      </c>
      <c r="E27" s="28">
        <f>IFERROR(AVERAGE(E12:E26),0)</f>
        <v/>
      </c>
      <c r="F27" s="28">
        <f>IFERROR(AVERAGE(F12:F26),0)</f>
        <v/>
      </c>
      <c r="G27" s="28">
        <f>IFERROR(AVERAGE(G12:G26),0)</f>
        <v/>
      </c>
      <c r="H27" s="15" t="n"/>
    </row>
    <row r="29" ht="15" customHeight="1">
      <c r="B29" s="3" t="inlineStr">
        <is>
          <t>Tip: 'Total Engagement' and the Average row calculate automatically from the numbers you enter.</t>
        </is>
      </c>
    </row>
    <row r="31" ht="15" customHeight="1">
      <c r="B31" s="7" t="inlineStr">
        <is>
          <t>Notes / monthly summary (observations, recurring themes, key posts, campaigns)</t>
        </is>
      </c>
    </row>
    <row r="32" ht="15" customHeight="1">
      <c r="B32" s="29" t="inlineStr">
        <is>
          <t>Primary outage-complaint channel; fast acknowledgements but many unresolved threads.</t>
        </is>
      </c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5" t="n"/>
    </row>
    <row r="33" ht="15" customHeight="1">
      <c r="B33" s="56" t="n"/>
      <c r="N33" s="57" t="n"/>
    </row>
    <row r="34" ht="15" customHeight="1">
      <c r="B34" s="56" t="n"/>
      <c r="N34" s="57" t="n"/>
    </row>
    <row r="35" ht="15" customHeight="1">
      <c r="B35" s="56" t="n"/>
      <c r="N35" s="57" t="n"/>
    </row>
    <row r="36" ht="15" customHeight="1">
      <c r="B36" s="56" t="n"/>
      <c r="N36" s="57" t="n"/>
    </row>
    <row r="37" ht="15" customHeight="1">
      <c r="B37" s="56" t="n"/>
      <c r="N37" s="57" t="n"/>
    </row>
    <row r="38" ht="15" customHeight="1">
      <c r="B38" s="56" t="n"/>
      <c r="N38" s="57" t="n"/>
    </row>
    <row r="39" ht="15" customHeight="1">
      <c r="B39" s="58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60" t="n"/>
    </row>
    <row r="41" ht="15" customHeight="1">
      <c r="B41" s="7" t="inlineStr">
        <is>
          <t>Screenshots &amp; evidence  —  paste images below (Insert ▸ Picture)</t>
        </is>
      </c>
    </row>
    <row r="42" ht="18" customHeight="1">
      <c r="B42" s="30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2" t="n"/>
    </row>
    <row r="43" ht="18" customHeight="1">
      <c r="B43" s="33" t="n"/>
      <c r="N43" s="34" t="n"/>
    </row>
    <row r="44" ht="18" customHeight="1">
      <c r="B44" s="33" t="n"/>
      <c r="N44" s="34" t="n"/>
    </row>
    <row r="45" ht="18" customHeight="1">
      <c r="B45" s="33" t="n"/>
      <c r="N45" s="34" t="n"/>
    </row>
    <row r="46" ht="18" customHeight="1">
      <c r="B46" s="33" t="n"/>
      <c r="N46" s="34" t="n"/>
    </row>
    <row r="47" ht="18" customHeight="1">
      <c r="B47" s="33" t="n"/>
      <c r="N47" s="34" t="n"/>
    </row>
    <row r="48" ht="18" customHeight="1">
      <c r="B48" s="33" t="n"/>
      <c r="N48" s="34" t="n"/>
    </row>
    <row r="49" ht="18" customHeight="1">
      <c r="B49" s="33" t="n"/>
      <c r="N49" s="34" t="n"/>
    </row>
    <row r="50" ht="18" customHeight="1">
      <c r="B50" s="33" t="n"/>
      <c r="N50" s="34" t="n"/>
    </row>
    <row r="51" ht="18" customHeight="1">
      <c r="B51" s="33" t="n"/>
      <c r="N51" s="34" t="n"/>
    </row>
    <row r="52" ht="18" customHeight="1">
      <c r="B52" s="33" t="n"/>
      <c r="N52" s="34" t="n"/>
    </row>
    <row r="53" ht="18" customHeight="1">
      <c r="B53" s="33" t="n"/>
      <c r="H53" s="35" t="inlineStr">
        <is>
          <t>( paste screenshots here )</t>
        </is>
      </c>
      <c r="N53" s="34" t="n"/>
    </row>
    <row r="54" ht="18" customHeight="1">
      <c r="B54" s="33" t="n"/>
      <c r="N54" s="34" t="n"/>
    </row>
    <row r="55" ht="18" customHeight="1">
      <c r="B55" s="33" t="n"/>
      <c r="N55" s="34" t="n"/>
    </row>
    <row r="56" ht="18" customHeight="1">
      <c r="B56" s="33" t="n"/>
      <c r="N56" s="34" t="n"/>
    </row>
    <row r="57" ht="18" customHeight="1">
      <c r="B57" s="33" t="n"/>
      <c r="N57" s="34" t="n"/>
    </row>
    <row r="58" ht="18" customHeight="1">
      <c r="B58" s="33" t="n"/>
      <c r="N58" s="34" t="n"/>
    </row>
    <row r="59" ht="18" customHeight="1">
      <c r="B59" s="33" t="n"/>
      <c r="N59" s="34" t="n"/>
    </row>
    <row r="60" ht="18" customHeight="1">
      <c r="B60" s="33" t="n"/>
      <c r="N60" s="34" t="n"/>
    </row>
    <row r="61" ht="18" customHeight="1">
      <c r="B61" s="33" t="n"/>
      <c r="N61" s="34" t="n"/>
    </row>
    <row r="62" ht="18" customHeight="1">
      <c r="B62" s="33" t="n"/>
      <c r="N62" s="34" t="n"/>
    </row>
    <row r="63" ht="18" customHeight="1">
      <c r="B63" s="33" t="n"/>
      <c r="N63" s="34" t="n"/>
    </row>
    <row r="64" ht="18" customHeight="1">
      <c r="B64" s="36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8" t="n"/>
    </row>
  </sheetData>
  <mergeCells count="11">
    <mergeCell ref="B32:N39"/>
    <mergeCell ref="C2:N2"/>
    <mergeCell ref="B31:N31"/>
    <mergeCell ref="C3:F3"/>
    <mergeCell ref="B41:N41"/>
    <mergeCell ref="I5:K5"/>
    <mergeCell ref="C5:D5"/>
    <mergeCell ref="B29:H29"/>
    <mergeCell ref="B10:H10"/>
    <mergeCell ref="L5:M5"/>
    <mergeCell ref="E5:H5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7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2" customWidth="1" min="1" max="1"/>
    <col width="22" customWidth="1" min="2" max="7"/>
  </cols>
  <sheetData>
    <row r="2" ht="30" customHeight="1">
      <c r="B2" s="10" t="inlineStr">
        <is>
          <t>EY</t>
        </is>
      </c>
      <c r="C2" s="9" t="inlineStr">
        <is>
          <t>Website — Analysis</t>
        </is>
      </c>
      <c r="D2" s="51" t="n"/>
      <c r="E2" s="51" t="n"/>
      <c r="F2" s="51" t="n"/>
      <c r="G2" s="51" t="n"/>
    </row>
    <row r="3" ht="15" customHeight="1">
      <c r="B3" s="14" t="inlineStr">
        <is>
          <t>Website URL:</t>
        </is>
      </c>
      <c r="C3" s="12" t="inlineStr">
        <is>
          <t>meridiantelecom.tn</t>
        </is>
      </c>
      <c r="D3" s="53" t="n"/>
      <c r="E3" s="52" t="n"/>
    </row>
    <row r="6" ht="15" customHeight="1">
      <c r="B6" s="7" t="inlineStr">
        <is>
          <t>Site structure (list the main sections and the pages under each)</t>
        </is>
      </c>
    </row>
    <row r="7" ht="15" customHeight="1">
      <c r="B7" s="17" t="inlineStr">
        <is>
          <t>Section 1</t>
        </is>
      </c>
      <c r="C7" s="17" t="inlineStr">
        <is>
          <t>Section 2</t>
        </is>
      </c>
      <c r="D7" s="17" t="inlineStr">
        <is>
          <t>Section 3</t>
        </is>
      </c>
      <c r="E7" s="17" t="inlineStr">
        <is>
          <t>Section 4</t>
        </is>
      </c>
      <c r="F7" s="17" t="inlineStr">
        <is>
          <t>Section 5</t>
        </is>
      </c>
    </row>
    <row r="8" ht="15" customHeight="1">
      <c r="B8" s="25" t="inlineStr">
        <is>
          <t>Personal</t>
        </is>
      </c>
      <c r="C8" s="25" t="inlineStr">
        <is>
          <t>Business</t>
        </is>
      </c>
      <c r="D8" s="25" t="inlineStr">
        <is>
          <t>Offers</t>
        </is>
      </c>
      <c r="E8" s="25" t="inlineStr">
        <is>
          <t>Support</t>
        </is>
      </c>
      <c r="F8" s="25" t="inlineStr">
        <is>
          <t>About</t>
        </is>
      </c>
    </row>
    <row r="9" ht="15" customHeight="1">
      <c r="B9" s="39" t="n"/>
      <c r="C9" s="39" t="n"/>
      <c r="D9" s="39" t="n"/>
      <c r="E9" s="39" t="n"/>
      <c r="F9" s="39" t="n"/>
    </row>
    <row r="10" ht="15" customHeight="1">
      <c r="B10" s="39" t="n"/>
      <c r="C10" s="39" t="n"/>
      <c r="D10" s="39" t="n"/>
      <c r="E10" s="39" t="n"/>
      <c r="F10" s="39" t="n"/>
    </row>
    <row r="11" ht="15" customHeight="1">
      <c r="B11" s="39" t="n"/>
      <c r="C11" s="39" t="n"/>
      <c r="D11" s="39" t="n"/>
      <c r="E11" s="39" t="n"/>
      <c r="F11" s="39" t="n"/>
    </row>
    <row r="12" ht="15" customHeight="1">
      <c r="B12" s="39" t="n"/>
      <c r="C12" s="39" t="n"/>
      <c r="D12" s="39" t="n"/>
      <c r="E12" s="39" t="n"/>
      <c r="F12" s="39" t="n"/>
    </row>
    <row r="13" ht="15" customHeight="1">
      <c r="B13" s="39" t="n"/>
      <c r="C13" s="39" t="n"/>
      <c r="D13" s="39" t="n"/>
      <c r="E13" s="39" t="n"/>
      <c r="F13" s="39" t="n"/>
    </row>
    <row r="14" ht="15" customHeight="1">
      <c r="B14" s="39" t="n"/>
      <c r="C14" s="39" t="n"/>
      <c r="D14" s="39" t="n"/>
      <c r="E14" s="39" t="n"/>
      <c r="F14" s="39" t="n"/>
    </row>
    <row r="16" ht="15" customHeight="1">
      <c r="B16" s="7" t="inlineStr">
        <is>
          <t>Traffic analytics</t>
        </is>
      </c>
    </row>
    <row r="17" ht="15" customHeight="1">
      <c r="B17" s="11" t="inlineStr">
        <is>
          <t>Total visits (period)</t>
        </is>
      </c>
      <c r="C17" s="40" t="n"/>
      <c r="D17" s="41" t="inlineStr">
        <is>
          <t>1,240,000</t>
        </is>
      </c>
    </row>
    <row r="18" ht="15" customHeight="1">
      <c r="B18" s="11" t="inlineStr">
        <is>
          <t>Desktop share (%)</t>
        </is>
      </c>
      <c r="C18" s="40" t="n"/>
      <c r="D18" s="41" t="inlineStr">
        <is>
          <t>34%</t>
        </is>
      </c>
    </row>
    <row r="19" ht="15" customHeight="1">
      <c r="B19" s="11" t="inlineStr">
        <is>
          <t>Mobile share (%)</t>
        </is>
      </c>
      <c r="C19" s="40" t="n"/>
      <c r="D19" s="41" t="inlineStr">
        <is>
          <t>66%</t>
        </is>
      </c>
    </row>
    <row r="20" ht="15" customHeight="1">
      <c r="B20" s="11" t="inlineStr">
        <is>
          <t>Pages per visit</t>
        </is>
      </c>
      <c r="C20" s="40" t="n"/>
      <c r="D20" s="41" t="inlineStr">
        <is>
          <t>2.8</t>
        </is>
      </c>
    </row>
    <row r="21" ht="15" customHeight="1">
      <c r="B21" s="11" t="inlineStr">
        <is>
          <t>Bounce rate (%)</t>
        </is>
      </c>
      <c r="C21" s="40" t="n"/>
      <c r="D21" s="41" t="inlineStr">
        <is>
          <t>52%</t>
        </is>
      </c>
    </row>
    <row r="22" ht="15" customHeight="1">
      <c r="B22" s="11" t="inlineStr">
        <is>
          <t>Avg. visit duration</t>
        </is>
      </c>
      <c r="C22" s="40" t="n"/>
      <c r="D22" s="41" t="inlineStr">
        <is>
          <t>00:02:15</t>
        </is>
      </c>
    </row>
    <row r="24" ht="15" customHeight="1">
      <c r="B24" s="7" t="inlineStr">
        <is>
          <t>Screenshots &amp; evidence  —  paste images below (Insert ▸ Picture)</t>
        </is>
      </c>
    </row>
    <row r="25" ht="18" customHeight="1">
      <c r="B25" s="30" t="n"/>
      <c r="C25" s="31" t="n"/>
      <c r="D25" s="31" t="n"/>
      <c r="E25" s="31" t="n"/>
      <c r="F25" s="31" t="n"/>
      <c r="G25" s="32" t="n"/>
    </row>
    <row r="26" ht="18" customHeight="1">
      <c r="B26" s="33" t="n"/>
      <c r="G26" s="34" t="n"/>
    </row>
    <row r="27" ht="18" customHeight="1">
      <c r="B27" s="33" t="n"/>
      <c r="G27" s="34" t="n"/>
    </row>
    <row r="28" ht="18" customHeight="1">
      <c r="B28" s="33" t="n"/>
      <c r="G28" s="34" t="n"/>
    </row>
    <row r="29" ht="18" customHeight="1">
      <c r="B29" s="33" t="n"/>
      <c r="G29" s="34" t="n"/>
    </row>
    <row r="30" ht="18" customHeight="1">
      <c r="B30" s="33" t="n"/>
      <c r="G30" s="34" t="n"/>
    </row>
    <row r="31" ht="18" customHeight="1">
      <c r="B31" s="33" t="n"/>
      <c r="G31" s="34" t="n"/>
    </row>
    <row r="32" ht="18" customHeight="1">
      <c r="B32" s="33" t="n"/>
      <c r="G32" s="34" t="n"/>
    </row>
    <row r="33" ht="18" customHeight="1">
      <c r="B33" s="33" t="n"/>
      <c r="G33" s="34" t="n"/>
    </row>
    <row r="34" ht="18" customHeight="1">
      <c r="B34" s="33" t="n"/>
      <c r="G34" s="34" t="n"/>
    </row>
    <row r="35" ht="18" customHeight="1">
      <c r="B35" s="33" t="n"/>
      <c r="G35" s="34" t="n"/>
    </row>
    <row r="36" ht="18" customHeight="1">
      <c r="B36" s="33" t="n"/>
      <c r="D36" s="35" t="inlineStr">
        <is>
          <t>( paste screenshots here )</t>
        </is>
      </c>
      <c r="G36" s="34" t="n"/>
    </row>
    <row r="37" ht="18" customHeight="1">
      <c r="B37" s="33" t="n"/>
      <c r="G37" s="34" t="n"/>
    </row>
    <row r="38" ht="18" customHeight="1">
      <c r="B38" s="33" t="n"/>
      <c r="G38" s="34" t="n"/>
    </row>
    <row r="39" ht="18" customHeight="1">
      <c r="B39" s="33" t="n"/>
      <c r="G39" s="34" t="n"/>
    </row>
    <row r="40" ht="18" customHeight="1">
      <c r="B40" s="33" t="n"/>
      <c r="G40" s="34" t="n"/>
    </row>
    <row r="41" ht="18" customHeight="1">
      <c r="B41" s="33" t="n"/>
      <c r="G41" s="34" t="n"/>
    </row>
    <row r="42" ht="18" customHeight="1">
      <c r="B42" s="33" t="n"/>
      <c r="G42" s="34" t="n"/>
    </row>
    <row r="43" ht="18" customHeight="1">
      <c r="B43" s="33" t="n"/>
      <c r="G43" s="34" t="n"/>
    </row>
    <row r="44" ht="18" customHeight="1">
      <c r="B44" s="33" t="n"/>
      <c r="G44" s="34" t="n"/>
    </row>
    <row r="45" ht="18" customHeight="1">
      <c r="B45" s="33" t="n"/>
      <c r="G45" s="34" t="n"/>
    </row>
    <row r="46" ht="18" customHeight="1">
      <c r="B46" s="33" t="n"/>
      <c r="G46" s="34" t="n"/>
    </row>
    <row r="47" ht="18" customHeight="1">
      <c r="B47" s="36" t="n"/>
      <c r="C47" s="37" t="n"/>
      <c r="D47" s="37" t="n"/>
      <c r="E47" s="37" t="n"/>
      <c r="F47" s="37" t="n"/>
      <c r="G47" s="38" t="n"/>
    </row>
  </sheetData>
  <mergeCells count="5">
    <mergeCell ref="B24:G24"/>
    <mergeCell ref="B6:F6"/>
    <mergeCell ref="B16:F16"/>
    <mergeCell ref="C2:G2"/>
    <mergeCell ref="C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7"/>
  <sheetViews>
    <sheetView showGridLines="0" tabSelected="1" zoomScaleNormal="100" workbookViewId="0">
      <selection activeCell="D9" sqref="D9"/>
    </sheetView>
  </sheetViews>
  <sheetFormatPr baseColWidth="10" defaultColWidth="8.6640625" defaultRowHeight="14.4"/>
  <cols>
    <col width="2" customWidth="1" min="1" max="1"/>
    <col width="24" customWidth="1" min="2" max="2"/>
    <col width="16" customWidth="1" min="3" max="4"/>
    <col width="38" customWidth="1" min="5" max="5"/>
    <col width="13" customWidth="1" min="6" max="7"/>
    <col width="44" customWidth="1" min="8" max="9"/>
  </cols>
  <sheetData>
    <row r="2" ht="30" customHeight="1">
      <c r="B2" s="10" t="inlineStr">
        <is>
          <t>EY</t>
        </is>
      </c>
      <c r="C2" s="9" t="inlineStr">
        <is>
          <t>Customer Themes &amp; Insights  —  Friction Points &amp; Likes</t>
        </is>
      </c>
      <c r="D2" s="51" t="n"/>
      <c r="E2" s="51" t="n"/>
      <c r="F2" s="51" t="n"/>
      <c r="G2" s="51" t="n"/>
      <c r="H2" s="51" t="n"/>
      <c r="I2" s="51" t="n"/>
    </row>
    <row r="3" ht="30" customHeight="1">
      <c r="B3" s="1" t="inlineStr">
        <is>
          <t>Consolidate the recurring themes customers raise across all channels. For each theme, note its source channel, tag it as a friction point or a like, and record how many opinions you found, real examples, and your own interpretation.</t>
        </is>
      </c>
    </row>
    <row r="4" ht="6" customHeight="1"/>
    <row r="5" ht="30" customHeight="1">
      <c r="B5" s="17" t="inlineStr">
        <is>
          <t>Theme / Category</t>
        </is>
      </c>
      <c r="C5" s="17" t="inlineStr">
        <is>
          <t>Type</t>
        </is>
      </c>
      <c r="D5" s="17" t="inlineStr">
        <is>
          <t>Source</t>
        </is>
      </c>
      <c r="E5" s="17" t="inlineStr">
        <is>
          <t>Insight description</t>
        </is>
      </c>
      <c r="F5" s="17" t="inlineStr">
        <is>
          <t># opinions found</t>
        </is>
      </c>
      <c r="G5" s="17" t="inlineStr">
        <is>
          <t>Share of mentions</t>
        </is>
      </c>
      <c r="H5" s="17" t="inlineStr">
        <is>
          <t>Examples (representative comments / verbatim)</t>
        </is>
      </c>
      <c r="I5" s="17" t="inlineStr">
        <is>
          <t>Our interpretation</t>
        </is>
      </c>
    </row>
    <row r="6" ht="42" customHeight="1">
      <c r="B6" s="42" t="inlineStr">
        <is>
          <t>Billing errors &amp; disputes</t>
        </is>
      </c>
      <c r="C6" s="25" t="inlineStr">
        <is>
          <t>Friction point</t>
        </is>
      </c>
      <c r="D6" s="25" t="inlineStr">
        <is>
          <t>Facebook</t>
        </is>
      </c>
      <c r="E6" s="42" t="inlineStr">
        <is>
          <t>Customers repeatedly report incorrect charges and slow, opaque refunds.</t>
        </is>
      </c>
      <c r="F6" s="43" t="n">
        <v>47</v>
      </c>
      <c r="G6" s="44" t="n">
        <v>0.429</v>
      </c>
      <c r="H6" s="42" t="inlineStr">
        <is>
          <t>"Charged twice for the same month, still waiting on a refund after 3 weeks" - "Impossible to reach anyone about my bill"</t>
        </is>
      </c>
      <c r="I6" s="42" t="inlineStr">
        <is>
          <t>Billing is the single largest driver of negative sentiment; refund process is slow and opaque.</t>
        </is>
      </c>
    </row>
    <row r="7" ht="42" customHeight="1">
      <c r="B7" s="42" t="inlineStr">
        <is>
          <t>Network outages &amp; coverage</t>
        </is>
      </c>
      <c r="C7" s="25" t="inlineStr">
        <is>
          <t>Friction point</t>
        </is>
      </c>
      <c r="D7" s="25" t="inlineStr">
        <is>
          <t>X (Twitter)</t>
        </is>
      </c>
      <c r="E7" s="42" t="inlineStr">
        <is>
          <t>Frequent complaints about dropped connections and regional outages, mostly evenings.</t>
        </is>
      </c>
      <c r="F7" s="43" t="n">
        <v>38</v>
      </c>
      <c r="G7" s="44" t="n">
        <v>0.571</v>
      </c>
      <c r="H7" s="42" t="inlineStr">
        <is>
          <t>"No signal in Sfax again tonight" - "3rd outage this week, unacceptable"</t>
        </is>
      </c>
      <c r="I7" s="42" t="inlineStr">
        <is>
          <t>Reliability issues concentrated in specific regions; erodes trust with heavy-data users.</t>
        </is>
      </c>
    </row>
    <row r="8" ht="30" customHeight="1">
      <c r="B8" s="29" t="inlineStr">
        <is>
          <t>Slow customer support</t>
        </is>
      </c>
      <c r="C8" s="45" t="inlineStr">
        <is>
          <t>Friction point</t>
        </is>
      </c>
      <c r="D8" s="45" t="inlineStr">
        <is>
          <t>Facebook</t>
        </is>
      </c>
      <c r="E8" s="29" t="inlineStr">
        <is>
          <t>Long wait times and templated replies that rarely resolve the issue.</t>
        </is>
      </c>
      <c r="F8" s="46" t="n">
        <v>29</v>
      </c>
      <c r="G8" s="47">
        <f>IFERROR(F8/$F$25,0)</f>
        <v/>
      </c>
      <c r="H8" s="29" t="inlineStr">
        <is>
          <t>"Been waiting 5 days for a reply" - "Bot answers that do not help"</t>
        </is>
      </c>
      <c r="I8" s="29" t="inlineStr">
        <is>
          <t>Support responsiveness gap, especially on Facebook; needs faster human escalation.</t>
        </is>
      </c>
    </row>
    <row r="9" ht="30" customHeight="1">
      <c r="B9" s="29" t="inlineStr">
        <is>
          <t>Attractive data offers</t>
        </is>
      </c>
      <c r="C9" s="45" t="inlineStr">
        <is>
          <t>Like</t>
        </is>
      </c>
      <c r="D9" s="45" t="inlineStr">
        <is>
          <t>Instagram</t>
        </is>
      </c>
      <c r="E9" s="29" t="inlineStr">
        <is>
          <t>Customers praise competitive pricing on data bundles and student plans.</t>
        </is>
      </c>
      <c r="F9" s="46" t="n">
        <v>26</v>
      </c>
      <c r="G9" s="47">
        <f>IFERROR(F9/$F$25,0)</f>
        <v/>
      </c>
      <c r="H9" s="29" t="inlineStr">
        <is>
          <t>"Best data deal in Tunisia right now" - "Student plan is amazing value"</t>
        </is>
      </c>
      <c r="I9" s="29" t="inlineStr">
        <is>
          <t>Pricing is a genuine acquisition strength; lean on it with younger segments.</t>
        </is>
      </c>
    </row>
    <row r="10" ht="30" customHeight="1">
      <c r="B10" s="29" t="inlineStr">
        <is>
          <t>Helpful in-store staff</t>
        </is>
      </c>
      <c r="C10" s="45" t="inlineStr">
        <is>
          <t>Like</t>
        </is>
      </c>
      <c r="D10" s="45" t="inlineStr">
        <is>
          <t>LinkedIn</t>
        </is>
      </c>
      <c r="E10" s="29" t="inlineStr">
        <is>
          <t>Positive mentions of knowledgeable and friendly branch staff.</t>
        </is>
      </c>
      <c r="F10" s="46" t="n">
        <v>18</v>
      </c>
      <c r="G10" s="47">
        <f>IFERROR(F10/$F$25,0)</f>
        <v/>
      </c>
      <c r="H10" s="29" t="inlineStr">
        <is>
          <t>"The Tunis branch team sorted my issue in minutes"</t>
        </is>
      </c>
      <c r="I10" s="29" t="inlineStr">
        <is>
          <t>In-person experience is a strength that contrasts with weak digital support.</t>
        </is>
      </c>
    </row>
    <row r="11" ht="30" customHeight="1">
      <c r="B11" s="29" t="inlineStr">
        <is>
          <t>Confusing self-service app</t>
        </is>
      </c>
      <c r="C11" s="45" t="inlineStr">
        <is>
          <t>Friction point</t>
        </is>
      </c>
      <c r="D11" s="45" t="inlineStr">
        <is>
          <t>Instagram</t>
        </is>
      </c>
      <c r="E11" s="29" t="inlineStr">
        <is>
          <t>App is hard to navigate for bill payment and plan changes.</t>
        </is>
      </c>
      <c r="F11" s="46" t="n">
        <v>21</v>
      </c>
      <c r="G11" s="47">
        <f>IFERROR(F11/$F$25,0)</f>
        <v/>
      </c>
      <c r="H11" s="29" t="inlineStr">
        <is>
          <t>"I can never find how to pay my bill in the app"</t>
        </is>
      </c>
      <c r="I11" s="29" t="inlineStr">
        <is>
          <t>Digital self-service friction pushes volume onto already-strained support channels.</t>
        </is>
      </c>
    </row>
    <row r="12" ht="30" customHeight="1">
      <c r="B12" s="29" t="n"/>
      <c r="C12" s="45" t="n"/>
      <c r="D12" s="45" t="n"/>
      <c r="E12" s="29" t="n"/>
      <c r="F12" s="46" t="n"/>
      <c r="G12" s="47">
        <f>IFERROR(F12/$F$25,0)</f>
        <v/>
      </c>
      <c r="H12" s="29" t="n"/>
      <c r="I12" s="29" t="n"/>
    </row>
    <row r="13" ht="30" customHeight="1">
      <c r="B13" s="29" t="n"/>
      <c r="C13" s="45" t="n"/>
      <c r="D13" s="45" t="n"/>
      <c r="E13" s="29" t="n"/>
      <c r="F13" s="46" t="n"/>
      <c r="G13" s="47">
        <f>IFERROR(F13/$F$25,0)</f>
        <v/>
      </c>
      <c r="H13" s="29" t="n"/>
      <c r="I13" s="29" t="n"/>
    </row>
    <row r="14" ht="30" customHeight="1">
      <c r="B14" s="29" t="n"/>
      <c r="C14" s="45" t="n"/>
      <c r="D14" s="45" t="n"/>
      <c r="E14" s="29" t="n"/>
      <c r="F14" s="46" t="n"/>
      <c r="G14" s="47">
        <f>IFERROR(F14/$F$25,0)</f>
        <v/>
      </c>
      <c r="H14" s="29" t="n"/>
      <c r="I14" s="29" t="n"/>
    </row>
    <row r="15" ht="30" customHeight="1">
      <c r="B15" s="29" t="n"/>
      <c r="C15" s="45" t="n"/>
      <c r="D15" s="45" t="n"/>
      <c r="E15" s="29" t="n"/>
      <c r="F15" s="46" t="n"/>
      <c r="G15" s="47">
        <f>IFERROR(F15/$F$25,0)</f>
        <v/>
      </c>
      <c r="H15" s="29" t="n"/>
      <c r="I15" s="29" t="n"/>
    </row>
    <row r="16" ht="30" customHeight="1">
      <c r="B16" s="29" t="n"/>
      <c r="C16" s="45" t="n"/>
      <c r="D16" s="45" t="n"/>
      <c r="E16" s="29" t="n"/>
      <c r="F16" s="46" t="n"/>
      <c r="G16" s="47">
        <f>IFERROR(F16/$F$25,0)</f>
        <v/>
      </c>
      <c r="H16" s="29" t="n"/>
      <c r="I16" s="29" t="n"/>
    </row>
    <row r="17" ht="30" customHeight="1">
      <c r="B17" s="29" t="n"/>
      <c r="C17" s="45" t="n"/>
      <c r="D17" s="45" t="n"/>
      <c r="E17" s="29" t="n"/>
      <c r="F17" s="46" t="n"/>
      <c r="G17" s="47">
        <f>IFERROR(F17/$F$25,0)</f>
        <v/>
      </c>
      <c r="H17" s="29" t="n"/>
      <c r="I17" s="29" t="n"/>
    </row>
    <row r="18" ht="30" customHeight="1">
      <c r="B18" s="29" t="n"/>
      <c r="C18" s="45" t="n"/>
      <c r="D18" s="45" t="n"/>
      <c r="E18" s="29" t="n"/>
      <c r="F18" s="46" t="n"/>
      <c r="G18" s="47">
        <f>IFERROR(F18/$F$25,0)</f>
        <v/>
      </c>
      <c r="H18" s="29" t="n"/>
      <c r="I18" s="29" t="n"/>
    </row>
    <row r="19" ht="30" customHeight="1">
      <c r="B19" s="29" t="n"/>
      <c r="C19" s="45" t="n"/>
      <c r="D19" s="45" t="n"/>
      <c r="E19" s="29" t="n"/>
      <c r="F19" s="46" t="n"/>
      <c r="G19" s="47">
        <f>IFERROR(F19/$F$25,0)</f>
        <v/>
      </c>
      <c r="H19" s="29" t="n"/>
      <c r="I19" s="29" t="n"/>
    </row>
    <row r="20" ht="30" customHeight="1">
      <c r="B20" s="29" t="n"/>
      <c r="C20" s="45" t="n"/>
      <c r="D20" s="45" t="n"/>
      <c r="E20" s="29" t="n"/>
      <c r="F20" s="46" t="n"/>
      <c r="G20" s="47">
        <f>IFERROR(F20/$F$25,0)</f>
        <v/>
      </c>
      <c r="H20" s="29" t="n"/>
      <c r="I20" s="29" t="n"/>
    </row>
    <row r="21" ht="30" customHeight="1">
      <c r="B21" s="29" t="n"/>
      <c r="C21" s="45" t="n"/>
      <c r="D21" s="45" t="n"/>
      <c r="E21" s="29" t="n"/>
      <c r="F21" s="46" t="n"/>
      <c r="G21" s="47">
        <f>IFERROR(F21/$F$25,0)</f>
        <v/>
      </c>
      <c r="H21" s="29" t="n"/>
      <c r="I21" s="29" t="n"/>
    </row>
    <row r="22" ht="30" customHeight="1">
      <c r="B22" s="29" t="n"/>
      <c r="C22" s="45" t="n"/>
      <c r="D22" s="45" t="n"/>
      <c r="E22" s="29" t="n"/>
      <c r="F22" s="46" t="n"/>
      <c r="G22" s="47">
        <f>IFERROR(F22/$F$25,0)</f>
        <v/>
      </c>
      <c r="H22" s="29" t="n"/>
      <c r="I22" s="29" t="n"/>
    </row>
    <row r="23" ht="30" customHeight="1">
      <c r="B23" s="29" t="n"/>
      <c r="C23" s="45" t="n"/>
      <c r="D23" s="45" t="n"/>
      <c r="E23" s="29" t="n"/>
      <c r="F23" s="46" t="n"/>
      <c r="G23" s="47">
        <f>IFERROR(F23/$F$25,0)</f>
        <v/>
      </c>
      <c r="H23" s="29" t="n"/>
      <c r="I23" s="29" t="n"/>
    </row>
    <row r="24" ht="30" customHeight="1">
      <c r="B24" s="29" t="n"/>
      <c r="C24" s="45" t="n"/>
      <c r="D24" s="45" t="n"/>
      <c r="E24" s="29" t="n"/>
      <c r="F24" s="46" t="n"/>
      <c r="G24" s="47">
        <f>IFERROR(F24/$F$25,0)</f>
        <v/>
      </c>
      <c r="H24" s="29" t="n"/>
      <c r="I24" s="29" t="n"/>
    </row>
    <row r="25" ht="18" customHeight="1">
      <c r="B25" s="48" t="inlineStr">
        <is>
          <t>Total opinions</t>
        </is>
      </c>
      <c r="C25" s="48" t="n"/>
      <c r="D25" s="48" t="n"/>
      <c r="E25" s="48" t="n"/>
      <c r="F25" s="49">
        <f>SUM(F8:F24)</f>
        <v/>
      </c>
      <c r="G25" s="50">
        <f>IFERROR(SUM(G8:G24),0)</f>
        <v/>
      </c>
      <c r="H25" s="48" t="n"/>
      <c r="I25" s="48" t="n"/>
    </row>
    <row r="27" ht="15" customHeight="1">
      <c r="B27" s="1" t="inlineStr">
        <is>
          <t>Tip: use the Type and Source dropdowns to tag each theme. 'Share of mentions' calculates automatically from the counts you enter. Sort by '# opinions found' to surface the top themes.</t>
        </is>
      </c>
    </row>
  </sheetData>
  <mergeCells count="3">
    <mergeCell ref="B27:I27"/>
    <mergeCell ref="B3:I3"/>
    <mergeCell ref="C2:I2"/>
  </mergeCells>
  <dataValidations count="2">
    <dataValidation sqref="C8:C24" showDropDown="0" showInputMessage="0" showErrorMessage="0" allowBlank="1" errorTitle="Invalid type" error="Choose 'Friction point' or 'Like'." type="list">
      <formula1>"Friction point,Like"</formula1>
      <formula2>0</formula2>
    </dataValidation>
    <dataValidation sqref="D8:D24" showDropDown="0" showInputMessage="0" showErrorMessage="0" allowBlank="1" errorTitle="Invalid source" error="Pick a channel from the list." prompt="Select the channel this insight came from" type="list">
      <formula1>"LinkedIn,Facebook,Instagram,X (Twitter),Website"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2026-07-16T15:51:50Z</dcterms:created>
  <dcterms:modified xsi:type="dcterms:W3CDTF">2026-07-19T15:49:29Z</dcterms:modified>
  <cp:lastModifiedBy>Hamza Badreddine</cp:lastModifiedBy>
  <cp:revision>0</cp:revision>
</cp:coreProperties>
</file>